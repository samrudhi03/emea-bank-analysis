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rudhi/Documents/emea-bank-analysis/"/>
    </mc:Choice>
  </mc:AlternateContent>
  <xr:revisionPtr revIDLastSave="0" documentId="13_ncr:1_{76E2B6A8-ADA9-374C-B731-7910BAFC7727}" xr6:coauthVersionLast="47" xr6:coauthVersionMax="47" xr10:uidLastSave="{00000000-0000-0000-0000-000000000000}"/>
  <bookViews>
    <workbookView xWindow="0" yWindow="600" windowWidth="35840" windowHeight="20000" activeTab="7" xr2:uid="{41D6C018-7E9A-5248-85B4-EDD86D21E68D}"/>
  </bookViews>
  <sheets>
    <sheet name="Cover" sheetId="20" r:id="rId1"/>
    <sheet name="Assumptions" sheetId="13" r:id="rId2"/>
    <sheet name="Calc_Barclays" sheetId="14" r:id="rId3"/>
    <sheet name="Calc_BNP" sheetId="15" r:id="rId4"/>
    <sheet name="Calc_Deutsche" sheetId="16" r:id="rId5"/>
    <sheet name="Sensitivity" sheetId="17" r:id="rId6"/>
    <sheet name="Scenarios" sheetId="18" r:id="rId7"/>
    <sheet name="Chartbook" sheetId="19" r:id="rId8"/>
    <sheet name="ratios_summary" sheetId="2" r:id="rId9"/>
    <sheet name="sensitivity_results" sheetId="12" r:id="rId10"/>
    <sheet name="income_Barclays" sheetId="9" r:id="rId11"/>
    <sheet name="income_BNP_Paribas" sheetId="10" r:id="rId12"/>
    <sheet name="income_Deutsche_Bank" sheetId="11" r:id="rId13"/>
    <sheet name="balance_Barclays" sheetId="3" r:id="rId14"/>
    <sheet name="balance_BNP_Paribas" sheetId="4" r:id="rId15"/>
    <sheet name="balance_Deutsche_Bank" sheetId="5" r:id="rId16"/>
    <sheet name="bank_metrics" sheetId="6" r:id="rId17"/>
    <sheet name="bank_prices" sheetId="8" r:id="rId18"/>
  </sheets>
  <definedNames>
    <definedName name="ExternalData_1" localSheetId="8" hidden="1">'ratios_summary'!$A$1:$G$10</definedName>
    <definedName name="ExternalData_11" localSheetId="9" hidden="1">sensitivity_results!$A$1:$G$10</definedName>
    <definedName name="ExternalData_7" localSheetId="17" hidden="1">bank_prices!$A$1:$D$1527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20" l="1"/>
  <c r="B27" i="20"/>
  <c r="B26" i="20"/>
  <c r="B25" i="20"/>
  <c r="B24" i="20"/>
  <c r="B23" i="20"/>
  <c r="B22" i="20"/>
  <c r="B21" i="20"/>
  <c r="B20" i="20"/>
  <c r="B19" i="20"/>
  <c r="B16" i="20"/>
  <c r="B15" i="20"/>
  <c r="B14" i="20"/>
  <c r="B13" i="20"/>
  <c r="B12" i="20"/>
  <c r="B11" i="20"/>
  <c r="B10" i="20"/>
  <c r="B26" i="19"/>
  <c r="B25" i="19"/>
  <c r="B24" i="19"/>
  <c r="D20" i="19"/>
  <c r="C20" i="19"/>
  <c r="B20" i="19"/>
  <c r="D19" i="19"/>
  <c r="C19" i="19"/>
  <c r="B19" i="19"/>
  <c r="D18" i="19"/>
  <c r="C18" i="19"/>
  <c r="B18" i="19"/>
  <c r="D14" i="19"/>
  <c r="C14" i="19"/>
  <c r="B14" i="19"/>
  <c r="D13" i="19"/>
  <c r="C13" i="19"/>
  <c r="B13" i="19"/>
  <c r="D12" i="19"/>
  <c r="C12" i="19"/>
  <c r="B12" i="19"/>
  <c r="D8" i="19"/>
  <c r="C8" i="19"/>
  <c r="B8" i="19"/>
  <c r="D7" i="19"/>
  <c r="C7" i="19"/>
  <c r="B7" i="19"/>
  <c r="D6" i="19"/>
  <c r="C6" i="19"/>
  <c r="B6" i="19"/>
  <c r="D22" i="18"/>
  <c r="C22" i="18"/>
  <c r="D21" i="18"/>
  <c r="C21" i="18"/>
  <c r="D20" i="18"/>
  <c r="D19" i="18"/>
  <c r="C19" i="18"/>
  <c r="C20" i="18" s="1"/>
  <c r="D16" i="18"/>
  <c r="C16" i="18"/>
  <c r="D15" i="18"/>
  <c r="C15" i="18"/>
  <c r="D13" i="18"/>
  <c r="D14" i="18" s="1"/>
  <c r="C13" i="18"/>
  <c r="C14" i="18" s="1"/>
  <c r="D10" i="18"/>
  <c r="C10" i="18"/>
  <c r="D9" i="18"/>
  <c r="C9" i="18"/>
  <c r="D7" i="18"/>
  <c r="D8" i="18" s="1"/>
  <c r="C7" i="18"/>
  <c r="C8" i="18" s="1"/>
  <c r="B22" i="18"/>
  <c r="B21" i="18"/>
  <c r="B20" i="18"/>
  <c r="B19" i="18"/>
  <c r="B16" i="18"/>
  <c r="B15" i="18"/>
  <c r="B14" i="18"/>
  <c r="B13" i="18"/>
  <c r="B10" i="18"/>
  <c r="B9" i="18"/>
  <c r="B8" i="18"/>
  <c r="B7" i="18"/>
  <c r="H28" i="17"/>
  <c r="G28" i="17"/>
  <c r="F28" i="17"/>
  <c r="E28" i="17"/>
  <c r="D28" i="17"/>
  <c r="C28" i="17"/>
  <c r="B28" i="17"/>
  <c r="H27" i="17"/>
  <c r="G27" i="17"/>
  <c r="F27" i="17"/>
  <c r="E27" i="17"/>
  <c r="D27" i="17"/>
  <c r="C27" i="17"/>
  <c r="B27" i="17"/>
  <c r="H26" i="17"/>
  <c r="G26" i="17"/>
  <c r="F26" i="17"/>
  <c r="E26" i="17"/>
  <c r="D26" i="17"/>
  <c r="C26" i="17"/>
  <c r="B26" i="17"/>
  <c r="H25" i="17"/>
  <c r="G25" i="17"/>
  <c r="F25" i="17"/>
  <c r="E25" i="17"/>
  <c r="D25" i="17"/>
  <c r="C25" i="17"/>
  <c r="B25" i="17"/>
  <c r="H24" i="17"/>
  <c r="G24" i="17"/>
  <c r="F24" i="17"/>
  <c r="E24" i="17"/>
  <c r="D24" i="17"/>
  <c r="C24" i="17"/>
  <c r="H19" i="17"/>
  <c r="G19" i="17"/>
  <c r="F19" i="17"/>
  <c r="E19" i="17"/>
  <c r="D19" i="17"/>
  <c r="C19" i="17"/>
  <c r="B19" i="17"/>
  <c r="H18" i="17"/>
  <c r="G18" i="17"/>
  <c r="F18" i="17"/>
  <c r="E18" i="17"/>
  <c r="D18" i="17"/>
  <c r="C18" i="17"/>
  <c r="B18" i="17"/>
  <c r="H17" i="17"/>
  <c r="G17" i="17"/>
  <c r="F17" i="17"/>
  <c r="E17" i="17"/>
  <c r="D17" i="17"/>
  <c r="C17" i="17"/>
  <c r="B17" i="17"/>
  <c r="H16" i="17"/>
  <c r="G16" i="17"/>
  <c r="F16" i="17"/>
  <c r="E16" i="17"/>
  <c r="D16" i="17"/>
  <c r="C16" i="17"/>
  <c r="B16" i="17"/>
  <c r="H15" i="17"/>
  <c r="G15" i="17"/>
  <c r="F15" i="17"/>
  <c r="E15" i="17"/>
  <c r="D15" i="17"/>
  <c r="C15" i="17"/>
  <c r="H10" i="17"/>
  <c r="G10" i="17"/>
  <c r="F10" i="17"/>
  <c r="E10" i="17"/>
  <c r="D10" i="17"/>
  <c r="C10" i="17"/>
  <c r="B10" i="17"/>
  <c r="H9" i="17"/>
  <c r="G9" i="17"/>
  <c r="F9" i="17"/>
  <c r="E9" i="17"/>
  <c r="D9" i="17"/>
  <c r="C9" i="17"/>
  <c r="B9" i="17"/>
  <c r="H8" i="17"/>
  <c r="G8" i="17"/>
  <c r="F8" i="17"/>
  <c r="E8" i="17"/>
  <c r="D8" i="17"/>
  <c r="C8" i="17"/>
  <c r="B8" i="17"/>
  <c r="H7" i="17"/>
  <c r="G7" i="17"/>
  <c r="F7" i="17"/>
  <c r="E7" i="17"/>
  <c r="D7" i="17"/>
  <c r="C7" i="17"/>
  <c r="B7" i="17"/>
  <c r="H6" i="17"/>
  <c r="G6" i="17"/>
  <c r="F6" i="17"/>
  <c r="E6" i="17"/>
  <c r="D6" i="17"/>
  <c r="C6" i="17"/>
  <c r="B24" i="17"/>
  <c r="B15" i="17"/>
  <c r="B6" i="17"/>
  <c r="C21" i="16"/>
  <c r="C10" i="16"/>
  <c r="C8" i="16"/>
  <c r="C16" i="16"/>
  <c r="C35" i="16"/>
  <c r="B32" i="16"/>
  <c r="C30" i="16"/>
  <c r="C29" i="16"/>
  <c r="C28" i="16"/>
  <c r="C31" i="16" s="1"/>
  <c r="C32" i="16" s="1"/>
  <c r="C7" i="16" s="1"/>
  <c r="C27" i="16"/>
  <c r="C26" i="16"/>
  <c r="B23" i="16"/>
  <c r="B22" i="16"/>
  <c r="B21" i="16"/>
  <c r="B20" i="16"/>
  <c r="B17" i="16"/>
  <c r="B16" i="16"/>
  <c r="B13" i="16"/>
  <c r="B12" i="16"/>
  <c r="B11" i="16"/>
  <c r="B10" i="16"/>
  <c r="B9" i="16"/>
  <c r="B8" i="16"/>
  <c r="B7" i="16"/>
  <c r="C21" i="15"/>
  <c r="C10" i="15"/>
  <c r="C8" i="15"/>
  <c r="C16" i="15"/>
  <c r="C35" i="15"/>
  <c r="B32" i="15"/>
  <c r="C30" i="15"/>
  <c r="C29" i="15"/>
  <c r="C27" i="15"/>
  <c r="C28" i="15" s="1"/>
  <c r="C31" i="15" s="1"/>
  <c r="C32" i="15" s="1"/>
  <c r="C7" i="15" s="1"/>
  <c r="C26" i="15"/>
  <c r="B23" i="15"/>
  <c r="B22" i="15"/>
  <c r="B21" i="15"/>
  <c r="B20" i="15"/>
  <c r="B17" i="15"/>
  <c r="B16" i="15"/>
  <c r="B13" i="15"/>
  <c r="B12" i="15"/>
  <c r="B11" i="15"/>
  <c r="B10" i="15"/>
  <c r="B9" i="15"/>
  <c r="B8" i="15" s="1"/>
  <c r="B7" i="15"/>
  <c r="C23" i="14"/>
  <c r="C22" i="14"/>
  <c r="C21" i="14"/>
  <c r="C20" i="14"/>
  <c r="C17" i="14"/>
  <c r="C13" i="14"/>
  <c r="C12" i="14"/>
  <c r="C11" i="14"/>
  <c r="C10" i="14"/>
  <c r="C9" i="14"/>
  <c r="C8" i="14"/>
  <c r="C7" i="14"/>
  <c r="C16" i="14"/>
  <c r="C35" i="14"/>
  <c r="C32" i="14"/>
  <c r="B32" i="14"/>
  <c r="C31" i="14"/>
  <c r="C30" i="14"/>
  <c r="C29" i="14"/>
  <c r="C28" i="14"/>
  <c r="C27" i="14"/>
  <c r="C26" i="14"/>
  <c r="B23" i="14"/>
  <c r="B22" i="14"/>
  <c r="B21" i="14"/>
  <c r="B20" i="14"/>
  <c r="B17" i="14"/>
  <c r="B16" i="14"/>
  <c r="B13" i="14"/>
  <c r="B12" i="14"/>
  <c r="B11" i="14"/>
  <c r="B10" i="14"/>
  <c r="B9" i="14"/>
  <c r="B8" i="14" s="1"/>
  <c r="B7" i="14"/>
  <c r="G7" i="13"/>
  <c r="E7" i="13"/>
  <c r="G6" i="13"/>
  <c r="E6" i="13"/>
  <c r="C20" i="15" l="1"/>
  <c r="C9" i="15"/>
  <c r="C20" i="16"/>
  <c r="C9" i="16"/>
  <c r="C23" i="16" l="1"/>
  <c r="C11" i="16"/>
  <c r="C23" i="15"/>
  <c r="C11" i="15"/>
  <c r="C12" i="15" l="1"/>
  <c r="C13" i="15" s="1"/>
  <c r="C12" i="16"/>
  <c r="C13" i="16"/>
  <c r="C17" i="15" l="1"/>
  <c r="C22" i="15"/>
  <c r="C17" i="16"/>
  <c r="C22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74CB46-C1CA-234D-BED1-9BAD5DBA5D43}" keepAlive="1" name="Query - balance_Barclays" description="Connection to the 'balance_Barclays' query in the workbook." type="5" refreshedVersion="0" background="1">
    <dbPr connection="Provider=Microsoft.Mashup.OleDb.1;Data Source=$Workbook$;Location=balance_Barclays;Extended Properties=&quot;&quot;" command="SELECT * FROM [balance_Barclays]"/>
  </connection>
  <connection id="2" xr16:uid="{0039D85D-59FB-644D-B0EB-4892F2F2D5AD}" keepAlive="1" name="Query - balance_BNP_Paribas" description="Connection to the 'balance_BNP_Paribas' query in the workbook." type="5" refreshedVersion="8" background="1" saveData="1">
    <dbPr connection="Provider=Microsoft.Mashup.OleDb.1;Data Source=$Workbook$;Location=balance_BNP_Paribas;Extended Properties=&quot;&quot;" command="SELECT * FROM [balance_BNP_Paribas]"/>
  </connection>
  <connection id="3" xr16:uid="{ADEC5F16-5A21-5243-991B-B1E617C2782B}" keepAlive="1" name="Query - balance_Deutsche_Bank" description="Connection to the 'balance_Deutsche_Bank' query in the workbook." type="5" refreshedVersion="0" background="1">
    <dbPr connection="Provider=Microsoft.Mashup.OleDb.1;Data Source=$Workbook$;Location=balance_Deutsche_Bank;Extended Properties=&quot;&quot;" command="SELECT * FROM [balance_Deutsche_Bank]"/>
  </connection>
  <connection id="4" xr16:uid="{2A04A5EF-AC42-7849-A5DF-D5F968FA3798}" keepAlive="1" name="Query - bank_metrics" description="Connection to the 'bank_metrics' query in the workbook." type="5" refreshedVersion="8" background="1" saveData="1">
    <dbPr connection="Provider=Microsoft.Mashup.OleDb.1;Data Source=$Workbook$;Location=bank_metrics;Extended Properties=&quot;&quot;" command="SELECT * FROM [bank_metrics]"/>
  </connection>
  <connection id="5" xr16:uid="{42B0C3C1-7F9C-CE44-A74A-7571533B8484}" keepAlive="1" name="Query - bank_metrics (2)" description="Connection to the 'bank_metrics (2)' query in the workbook." type="5" refreshedVersion="0" background="1">
    <dbPr connection="Provider=Microsoft.Mashup.OleDb.1;Data Source=$Workbook$;Location=&quot;bank_metrics (2)&quot;;Extended Properties=&quot;&quot;" command="SELECT * FROM [bank_metrics (2)]"/>
  </connection>
  <connection id="6" xr16:uid="{2C9761EC-C1B3-1544-BB1B-97B2D77AA4CF}" keepAlive="1" name="Query - bank_prices" description="Connection to the 'bank_prices' query in the workbook." type="5" refreshedVersion="8" background="1" saveData="1">
    <dbPr connection="Provider=Microsoft.Mashup.OleDb.1;Data Source=$Workbook$;Location=bank_prices;Extended Properties=&quot;&quot;" command="SELECT * FROM [bank_prices]"/>
  </connection>
  <connection id="7" xr16:uid="{0EA0CE39-7D7B-9649-BD6B-5C8E6ECA689E}" keepAlive="1" name="Query - income_Barclays" description="Connection to the 'income_Barclays' query in the workbook." type="5" refreshedVersion="8" background="1" saveData="1">
    <dbPr connection="Provider=Microsoft.Mashup.OleDb.1;Data Source=$Workbook$;Location=income_Barclays;Extended Properties=&quot;&quot;" command="SELECT * FROM [income_Barclays]"/>
  </connection>
  <connection id="8" xr16:uid="{F402B820-2396-F341-87F7-553C0696DBEA}" keepAlive="1" name="Query - income_BNP_Paribas" description="Connection to the 'income_BNP_Paribas' query in the workbook." type="5" refreshedVersion="0" background="1">
    <dbPr connection="Provider=Microsoft.Mashup.OleDb.1;Data Source=$Workbook$;Location=income_BNP_Paribas;Extended Properties=&quot;&quot;" command="SELECT * FROM [income_BNP_Paribas]"/>
  </connection>
  <connection id="9" xr16:uid="{1C75981C-0B77-EB4C-8669-3376BF57428E}" keepAlive="1" name="Query - income_Deutsche_Bank" description="Connection to the 'income_Deutsche_Bank' query in the workbook." type="5" refreshedVersion="8" background="1" saveData="1">
    <dbPr connection="Provider=Microsoft.Mashup.OleDb.1;Data Source=$Workbook$;Location=income_Deutsche_Bank;Extended Properties=&quot;&quot;" command="SELECT * FROM [income_Deutsche_Bank]"/>
  </connection>
  <connection id="10" xr16:uid="{B353217F-BE39-584C-962F-E16F0A0095B6}" keepAlive="1" name="Query - ratios_summary" description="Connection to the 'ratios_summary' query in the workbook." type="5" refreshedVersion="8" background="1" saveData="1">
    <dbPr connection="Provider=Microsoft.Mashup.OleDb.1;Data Source=$Workbook$;Location=ratios_summary;Extended Properties=&quot;&quot;" command="SELECT * FROM [ratios_summary]"/>
  </connection>
  <connection id="11" xr16:uid="{F9A2AB9C-B185-6946-B1EE-703E58FF4284}" keepAlive="1" name="Query - sensitivity_results" description="Connection to the 'sensitivity_results' query in the workbook." type="5" refreshedVersion="8" background="1" saveData="1">
    <dbPr connection="Provider=Microsoft.Mashup.OleDb.1;Data Source=$Workbook$;Location=sensitivity_results;Extended Properties=&quot;&quot;" command="SELECT * FROM [sensitivity_results]"/>
  </connection>
</connections>
</file>

<file path=xl/sharedStrings.xml><?xml version="1.0" encoding="utf-8"?>
<sst xmlns="http://schemas.openxmlformats.org/spreadsheetml/2006/main" count="576" uniqueCount="254">
  <si>
    <t>Bank</t>
  </si>
  <si>
    <t>Year</t>
  </si>
  <si>
    <t>NIM (%)</t>
  </si>
  <si>
    <t>ROE (%)</t>
  </si>
  <si>
    <t>ROA (%)</t>
  </si>
  <si>
    <t>Cost to Income (%)</t>
  </si>
  <si>
    <t>Net Income (bn)</t>
  </si>
  <si>
    <t>Barclays</t>
  </si>
  <si>
    <t>BNP Paribas</t>
  </si>
  <si>
    <t>Deutsche Bank</t>
  </si>
  <si>
    <t>Treasury Shares Number</t>
  </si>
  <si>
    <t>Ordinary Shares Number</t>
  </si>
  <si>
    <t>Share Issued</t>
  </si>
  <si>
    <t>Total Debt</t>
  </si>
  <si>
    <t>Tangible Book Value</t>
  </si>
  <si>
    <t>Invested Capital</t>
  </si>
  <si>
    <t>Net Tangible Assets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</si>
  <si>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</si>
  <si>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</si>
  <si>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</si>
  <si>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</si>
  <si>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</si>
  <si>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</si>
  <si>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</si>
  <si>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</si>
  <si>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</si>
  <si>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</si>
  <si>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</si>
  <si>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Derivative Product Liabilities</t>
  </si>
  <si>
    <t>Long Term Debt And Capital Lease Obligation</t>
  </si>
  <si>
    <t>Payables</t>
  </si>
  <si>
    <t>Other Payable</t>
  </si>
  <si>
    <t>Total Tax Payable</t>
  </si>
  <si>
    <t>Total Assets</t>
  </si>
  <si>
    <t>Defined Pension Benefit</t>
  </si>
  <si>
    <t>Investments And Advances</t>
  </si>
  <si>
    <t>Investmentin Financial Assets</t>
  </si>
  <si>
    <t>Available For Sale Securities</t>
  </si>
  <si>
    <t>Financial Assets Designatedas Fair Value Through Profitor Loss Total</t>
  </si>
  <si>
    <t>Trading Securities</t>
  </si>
  <si>
    <t>Long Term Equity Investment</t>
  </si>
  <si>
    <t>Investmentsin Joint Venturesat Cost</t>
  </si>
  <si>
    <t>Investmentsin Associatesat Cost</t>
  </si>
  <si>
    <t>Investment Properties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</si>
  <si>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</si>
  <si>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</si>
  <si>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</si>
  <si>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</si>
  <si>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</si>
  <si>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</si>
  <si>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Other Properties</t>
  </si>
  <si>
    <t>Buildings And Improvements</t>
  </si>
  <si>
    <t>Taxes Receivable</t>
  </si>
  <si>
    <t>Cash And Cash Equivalents</t>
  </si>
  <si>
    <t>Cash Cash Equivalents And Federal Funds Sold</t>
  </si>
  <si>
    <t>Net Debt</t>
  </si>
  <si>
    <t>Machinery Furniture Equipment</t>
  </si>
  <si>
    <t>Properties</t>
  </si>
  <si>
    <t>Receivables</t>
  </si>
  <si>
    <t>Cash Financial</t>
  </si>
  <si>
    <t>Capital Lease Obligations</t>
  </si>
  <si>
    <t>Gains Losses Not Affecting Retained Earnings</t>
  </si>
  <si>
    <t>Treasury Stock</t>
  </si>
  <si>
    <t>Preferred Securities Outside Stock Equity</t>
  </si>
  <si>
    <t>Non Current Deferred Liabilities</t>
  </si>
  <si>
    <t>Non Current Deferred Taxes Liabilities</t>
  </si>
  <si>
    <t>Long Term Capital Lease Obligation</t>
  </si>
  <si>
    <t>Long Term Debt</t>
  </si>
  <si>
    <t>Long Term Provisions</t>
  </si>
  <si>
    <t>Current Debt And Capital Lease Obligation</t>
  </si>
  <si>
    <t>Current Debt</t>
  </si>
  <si>
    <t>Other Current Borrowings</t>
  </si>
  <si>
    <t>Commercial Paper</t>
  </si>
  <si>
    <t>Payables And Accrued Expenses</t>
  </si>
  <si>
    <t>Income Tax Payable</t>
  </si>
  <si>
    <t>Accounts Payable</t>
  </si>
  <si>
    <t>Leases</t>
  </si>
  <si>
    <t>Construction In Progress</t>
  </si>
  <si>
    <t>Other Receivables</t>
  </si>
  <si>
    <t>Accounts Receivable</t>
  </si>
  <si>
    <t>Other Short Term Investments</t>
  </si>
  <si>
    <t>Current Price</t>
  </si>
  <si>
    <t>Currency</t>
  </si>
  <si>
    <t>Market Cap</t>
  </si>
  <si>
    <t>P/B Ratio</t>
  </si>
  <si>
    <t>P/E Ratio</t>
  </si>
  <si>
    <t>ROE</t>
  </si>
  <si>
    <t>ROA</t>
  </si>
  <si>
    <t>Profit Margin</t>
  </si>
  <si>
    <t>Total Revenue</t>
  </si>
  <si>
    <t>Book Value</t>
  </si>
  <si>
    <t>GBp</t>
  </si>
  <si>
    <t>EUR</t>
  </si>
  <si>
    <t>Date</t>
  </si>
  <si>
    <t>Tax Effect Of Unusual Items</t>
  </si>
  <si>
    <t>Tax Rate For Calcs</t>
  </si>
  <si>
    <t>Total Unusual Items</t>
  </si>
  <si>
    <t>Total Unusual Items Excluding Goodwill</t>
  </si>
  <si>
    <t>Net Income From Continuing Operation Net Minority Interest</t>
  </si>
  <si>
    <t>Reconciled Depreciation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</si>
  <si>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</si>
  <si>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</si>
  <si>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</si>
  <si>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</si>
  <si>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</si>
  <si>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</si>
  <si>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</si>
  <si>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</si>
  <si>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</si>
  <si>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</si>
  <si>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</si>
  <si>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</si>
  <si>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</si>
  <si>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</si>
  <si>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</si>
  <si>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Extraordinary</t>
  </si>
  <si>
    <t>Net Income Continuous Operations</t>
  </si>
  <si>
    <t>Tax Provision</t>
  </si>
  <si>
    <t>Pretax Income</t>
  </si>
  <si>
    <t>Special Income Charges</t>
  </si>
  <si>
    <t>Other Special Charges</t>
  </si>
  <si>
    <t>Impairment Of Capital Assets</t>
  </si>
  <si>
    <t>Restructuring And Mergern Acquisition</t>
  </si>
  <si>
    <t>Gain On Sale Of Security</t>
  </si>
  <si>
    <t>Operating Expense</t>
  </si>
  <si>
    <t>Other Operating Expenses</t>
  </si>
  <si>
    <t>Depreciation And Amortization In Income Statement</t>
  </si>
  <si>
    <t>Depreciation Income Statement</t>
  </si>
  <si>
    <t>Selling General And Administration</t>
  </si>
  <si>
    <t>Selling And Marketing Expense</t>
  </si>
  <si>
    <t>General And Administrative Expense</t>
  </si>
  <si>
    <t>Rent And Landing Fees</t>
  </si>
  <si>
    <t>Operating Revenue</t>
  </si>
  <si>
    <t>Net Income Discontinuous Operations</t>
  </si>
  <si>
    <t>Write Off</t>
  </si>
  <si>
    <t>Insurance And Claims</t>
  </si>
  <si>
    <t>Average Dilution Earnings</t>
  </si>
  <si>
    <t>Other Gand A</t>
  </si>
  <si>
    <t>Salaries And Wages</t>
  </si>
  <si>
    <t>Occupancy And Equipment</t>
  </si>
  <si>
    <t>Professional Expense And Contract Services Expense</t>
  </si>
  <si>
    <t>Other Non Interest Expense</t>
  </si>
  <si>
    <t>Scenario</t>
  </si>
  <si>
    <t>Income Change (bn)</t>
  </si>
  <si>
    <t>Income Change (%)</t>
  </si>
  <si>
    <t>Bear Case (-25bps)</t>
  </si>
  <si>
    <t>Base Case</t>
  </si>
  <si>
    <t>Bull Case (+25bps)</t>
  </si>
  <si>
    <t>Line Item</t>
  </si>
  <si>
    <t>FY2025</t>
  </si>
  <si>
    <t>FY2024</t>
  </si>
  <si>
    <t>FY2023</t>
  </si>
  <si>
    <t>FY2022</t>
  </si>
  <si>
    <t>FY2021</t>
  </si>
  <si>
    <t>Scenario:</t>
  </si>
  <si>
    <t>Base</t>
  </si>
  <si>
    <t>← change to Bear / Base / Bull</t>
  </si>
  <si>
    <t>Central Bank Rates</t>
  </si>
  <si>
    <t>Bear</t>
  </si>
  <si>
    <t>Bull</t>
  </si>
  <si>
    <t>Selected</t>
  </si>
  <si>
    <t>FY2024 Actual</t>
  </si>
  <si>
    <t>Δ Rate</t>
  </si>
  <si>
    <t>ECB Rate (eurozone)</t>
  </si>
  <si>
    <t>BoE Rate (UK)</t>
  </si>
  <si>
    <t>Bank Inputs</t>
  </si>
  <si>
    <t>Central Bank</t>
  </si>
  <si>
    <t>Deposit Beta</t>
  </si>
  <si>
    <t>Repricing Lag</t>
  </si>
  <si>
    <t>Cost Inflation</t>
  </si>
  <si>
    <t>Fee Growth</t>
  </si>
  <si>
    <t>Tax Rate</t>
  </si>
  <si>
    <t>Applicable Rate Ref</t>
  </si>
  <si>
    <t>BoE</t>
  </si>
  <si>
    <t>ECB</t>
  </si>
  <si>
    <t>Color key:</t>
  </si>
  <si>
    <t>Hardcoded input</t>
  </si>
  <si>
    <t>Formula</t>
  </si>
  <si>
    <t>Cross-sheet link</t>
  </si>
  <si>
    <t>Key toggle</t>
  </si>
  <si>
    <t>All figures in £ billions unless noted. Source figures divided by 1,000,000,000.</t>
  </si>
  <si>
    <t>FY2024A</t>
  </si>
  <si>
    <t>FY2025E</t>
  </si>
  <si>
    <t>Income Statement</t>
  </si>
  <si>
    <t>Non-Interest Income (Fees)</t>
  </si>
  <si>
    <t>Balance Sheet</t>
  </si>
  <si>
    <t>Key Ratios</t>
  </si>
  <si>
    <t>NIM (NII / Total Assets)</t>
  </si>
  <si>
    <t>Effective Tax Rate</t>
  </si>
  <si>
    <t>ROE (Net Income / Equity)</t>
  </si>
  <si>
    <t>Cost-to-Income</t>
  </si>
  <si>
    <t>FY25E Drivers</t>
  </si>
  <si>
    <t>Applicable CB rate (BoE)</t>
  </si>
  <si>
    <t>FY24 CB rate</t>
  </si>
  <si>
    <t>NIM change = ΔRate × (1 − β) × Lag</t>
  </si>
  <si>
    <t>NIM FY25E</t>
  </si>
  <si>
    <t>FY25E P&amp;L</t>
  </si>
  <si>
    <t>Total Assets (held flat)</t>
  </si>
  <si>
    <t>All figures in € billions. Source figures divided by 1,000,000,000.</t>
  </si>
  <si>
    <t>Applicable CB rate (ECB)</t>
  </si>
  <si>
    <t>All figures in € billions. OpEx = SG&amp;A + Other Non Interest Expense. Source figures ÷ 1,000,000,000.</t>
  </si>
  <si>
    <t>Operating Expense (SG&amp;A + Other NIE)</t>
  </si>
  <si>
    <t>Tax Provision (held at FY24 effective 33.8%)</t>
  </si>
  <si>
    <t>Base = FY2024 actuals. NIM FY25E = NIM FY24 + ΔRate×(1−β)×Lag. Fees &amp; OpEx held flat; tax per each bank's rule.</t>
  </si>
  <si>
    <t>Barclays (BoE, Lag 65%, Tax 22%)</t>
  </si>
  <si>
    <t>ΔRate \ β</t>
  </si>
  <si>
    <t>BNP Paribas (ECB, Lag 60%, Tax 26.5%)</t>
  </si>
  <si>
    <t>Deutsche Bank (ECB, Lag 70%, Tax 33.8% effective)</t>
  </si>
  <si>
    <t>Bear: −25bps rate change | Base: 0bps | Bull: +25bps. Fees, OpEx, tax, β, lag per Assumptions.</t>
  </si>
  <si>
    <t>ΔRate applied</t>
  </si>
  <si>
    <t>Barclays (GBP, bn)</t>
  </si>
  <si>
    <t>NIM</t>
  </si>
  <si>
    <t>Cost to Income</t>
  </si>
  <si>
    <t>BNP Paribas (EUR, bn)</t>
  </si>
  <si>
    <t>Deutsche Bank (EUR, bn)</t>
  </si>
  <si>
    <t>Source: Company annual reports, Yahoo Finance (yfinance)</t>
  </si>
  <si>
    <t>Chart 1 data: FY2025E Net Income by scenario</t>
  </si>
  <si>
    <t>Chart 2 data: Historical ROE (%)</t>
  </si>
  <si>
    <t>10% Target</t>
  </si>
  <si>
    <t>Chart 3 data: Historical NIM (%)</t>
  </si>
  <si>
    <t>Chart 4 data: FY2024 Cost-to-Income (%)</t>
  </si>
  <si>
    <t>C/I %</t>
  </si>
  <si>
    <t>70% Threshold</t>
  </si>
  <si>
    <t>Author: Samrudhi Shevare</t>
  </si>
  <si>
    <t>Coverage: Barclays, BNP Paribas, Deutsche Bank</t>
  </si>
  <si>
    <t>Contents</t>
  </si>
  <si>
    <t>Description</t>
  </si>
  <si>
    <t>Model Sheets</t>
  </si>
  <si>
    <t>Scenario toggle, central bank rates, bank-level inputs (β, lag, tax)</t>
  </si>
  <si>
    <t>Barclays FY24A vs FY25E P&amp;L and ratios (£bn)</t>
  </si>
  <si>
    <t>BNP Paribas FY24A vs FY25E P&amp;L and ratios (€bn)</t>
  </si>
  <si>
    <t>Deutsche Bank FY24A vs FY25E P&amp;L and ratios (€bn)</t>
  </si>
  <si>
    <t>ROE grids: ΔRate × deposit β for all three banks, with heatmap</t>
  </si>
  <si>
    <t>Bear / Base / Bull FY25E outputs side by side</t>
  </si>
  <si>
    <t>Four charts: Net Income by scenario, historical ROE/NIM, FY24 C/I</t>
  </si>
  <si>
    <t>Source Data</t>
  </si>
  <si>
    <t>Historical NIM / ROE / ROA / C/I / Net Income by bank &amp; year</t>
  </si>
  <si>
    <t>Prior Python sensitivity output (reference)</t>
  </si>
  <si>
    <t>Current price, market cap, P/B, P/E, ROE/ROA snapshot</t>
  </si>
  <si>
    <t>Daily share price history (Barclays, BNP, Deutsche)</t>
  </si>
  <si>
    <t>Deutsche Bank balance sheet FY2022 - FY2025 (raw €)</t>
  </si>
  <si>
    <t>BNP Paribas balance sheet FY2021 - FY2025 (raw €)</t>
  </si>
  <si>
    <t>Barclays balance sheet FY2022 - FY2025 (raw £)</t>
  </si>
  <si>
    <t>Deutsche Bank income statement FY2022 - FY2025 (raw €)</t>
  </si>
  <si>
    <t>BNP Paribas income statement FY2021 - FY2025 (raw €)</t>
  </si>
  <si>
    <t>Barclays income statement FY2021 - FY2025 (raw £)</t>
  </si>
  <si>
    <t>EMEA Banking Sector - NIM Sensitivity Model</t>
  </si>
  <si>
    <t>EMEA Banking NIM Model - Assumptions</t>
  </si>
  <si>
    <t>Calc_Barclays - NIM-driven P&amp;L (£bn)</t>
  </si>
  <si>
    <t>Calc_BNP Paribas - NIM-driven P&amp;L (€bn)</t>
  </si>
  <si>
    <t>Calc_Deutsche Bank - NIM-driven P&amp;L (€bn)</t>
  </si>
  <si>
    <t>FY2025E ROE Sensitivity - Rate Change vs Deposit Beta</t>
  </si>
  <si>
    <t>Scenario Comparison - FY2025E by Bank</t>
  </si>
  <si>
    <t>EMEA Banks - Chartbook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</si>
</sst>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;\(#,##0.00\);\-"/>
    <numFmt numFmtId="166" formatCode="\+0.00%;\-0.00%;0.00%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2"/>
      <color rgb="FF008000"/>
      <name val="Aptos Narrow"/>
      <family val="2"/>
      <scheme val="minor"/>
    </font>
    <font>
      <b/>
      <sz val="22"/>
      <color rgb="FF1F3864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b/>
      <i/>
      <sz val="14"/>
      <color rgb="FF595959"/>
      <name val="Aptos Narrow"/>
      <family val="2"/>
      <scheme val="minor"/>
    </font>
    <font>
      <b/>
      <i/>
      <sz val="12"/>
      <color rgb="FF595959"/>
      <name val="Aptos Narrow"/>
      <family val="2"/>
      <scheme val="minor"/>
    </font>
    <font>
      <u/>
      <sz val="12"/>
      <color rgb="FF0563C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0" fontId="4" fillId="0" borderId="0" xfId="0" applyNumberFormat="1" applyFont="1"/>
    <xf numFmtId="10" fontId="0" fillId="4" borderId="0" xfId="0" applyNumberFormat="1" applyFill="1"/>
    <xf numFmtId="10" fontId="0" fillId="0" borderId="0" xfId="0" applyNumberFormat="1"/>
    <xf numFmtId="164" fontId="4" fillId="0" borderId="0" xfId="0" applyNumberFormat="1" applyFont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5" borderId="0" xfId="0" applyFont="1" applyFill="1"/>
    <xf numFmtId="165" fontId="8" fillId="0" borderId="0" xfId="0" applyNumberFormat="1" applyFont="1"/>
    <xf numFmtId="165" fontId="0" fillId="0" borderId="0" xfId="0" applyNumberFormat="1"/>
    <xf numFmtId="165" fontId="9" fillId="0" borderId="0" xfId="0" applyNumberFormat="1" applyFont="1"/>
    <xf numFmtId="164" fontId="0" fillId="0" borderId="0" xfId="0" applyNumberFormat="1"/>
    <xf numFmtId="10" fontId="8" fillId="0" borderId="0" xfId="0" applyNumberFormat="1" applyFont="1"/>
    <xf numFmtId="164" fontId="8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8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9" borderId="0" xfId="0" applyFill="1"/>
    <xf numFmtId="0" fontId="10" fillId="9" borderId="0" xfId="0" applyFont="1" applyFill="1"/>
    <xf numFmtId="0" fontId="11" fillId="9" borderId="0" xfId="0" applyFont="1" applyFill="1"/>
    <xf numFmtId="0" fontId="12" fillId="9" borderId="0" xfId="0" applyFont="1" applyFill="1"/>
    <xf numFmtId="0" fontId="3" fillId="9" borderId="0" xfId="0" applyFont="1" applyFill="1"/>
    <xf numFmtId="0" fontId="13" fillId="9" borderId="0" xfId="0" applyFont="1" applyFill="1"/>
    <xf numFmtId="0" fontId="14" fillId="9" borderId="0" xfId="1" applyFont="1" applyFill="1"/>
    <xf numFmtId="0" fontId="1" fillId="9" borderId="0" xfId="0" applyFont="1" applyFill="1"/>
  </cellXfs>
  <cellStyles count="2">
    <cellStyle name="Hyperlink" xfId="1" builtinId="8"/>
    <cellStyle name="Normal" xfId="0" builtinId="0"/>
  </cellStyles>
  <dxfs count="13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FY2025E Net Income by Scenario (local currency, 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Chartbook!$B$5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Chartbook!$A$6:$A$8</c:f>
              <c:strCache>
                <c:ptCount val="3"/>
                <c:pt idx="0">
                  <c:v>Barclays</c:v>
                </c:pt>
                <c:pt idx="1">
                  <c:v>BNP Paribas</c:v>
                </c:pt>
                <c:pt idx="2">
                  <c:v>Deutsche Bank</c:v>
                </c:pt>
              </c:strCache>
            </c:strRef>
          </c:cat>
          <c:val>
            <c:numRef>
              <c:f>Chartbook!$B$6:$B$8</c:f>
              <c:numCache>
                <c:formatCode>General</c:formatCode>
                <c:ptCount val="3"/>
                <c:pt idx="0">
                  <c:v>6.8497217996999993</c:v>
                </c:pt>
                <c:pt idx="1">
                  <c:v>11.708767236600009</c:v>
                </c:pt>
                <c:pt idx="2">
                  <c:v>6.8599688890285417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D-C744-9B40-68BABB582F8E}"/>
            </c:ext>
          </c:extLst>
        </c:ser>
        <c:ser>
          <c:idx val="1"/>
          <c:order val="1"/>
          <c:tx>
            <c:strRef>
              <c:f>Chartbook!$C$5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Chartbook!$A$6:$A$8</c:f>
              <c:strCache>
                <c:ptCount val="3"/>
                <c:pt idx="0">
                  <c:v>Barclays</c:v>
                </c:pt>
                <c:pt idx="1">
                  <c:v>BNP Paribas</c:v>
                </c:pt>
                <c:pt idx="2">
                  <c:v>Deutsche Bank</c:v>
                </c:pt>
              </c:strCache>
            </c:strRef>
          </c:cat>
          <c:val>
            <c:numRef>
              <c:f>Chartbook!$C$6:$C$8</c:f>
              <c:numCache>
                <c:formatCode>General</c:formatCode>
                <c:ptCount val="3"/>
                <c:pt idx="0">
                  <c:v>7.9658279999999992</c:v>
                </c:pt>
                <c:pt idx="1">
                  <c:v>13.557707100000002</c:v>
                </c:pt>
                <c:pt idx="2">
                  <c:v>7.9534948591948602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D-C744-9B40-68BABB582F8E}"/>
            </c:ext>
          </c:extLst>
        </c:ser>
        <c:ser>
          <c:idx val="2"/>
          <c:order val="2"/>
          <c:tx>
            <c:strRef>
              <c:f>Chartbook!$D$5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Chartbook!$A$6:$A$8</c:f>
              <c:strCache>
                <c:ptCount val="3"/>
                <c:pt idx="0">
                  <c:v>Barclays</c:v>
                </c:pt>
                <c:pt idx="1">
                  <c:v>BNP Paribas</c:v>
                </c:pt>
                <c:pt idx="2">
                  <c:v>Deutsche Bank</c:v>
                </c:pt>
              </c:strCache>
            </c:strRef>
          </c:cat>
          <c:val>
            <c:numRef>
              <c:f>Chartbook!$D$6:$D$8</c:f>
              <c:numCache>
                <c:formatCode>General</c:formatCode>
                <c:ptCount val="3"/>
                <c:pt idx="0">
                  <c:v>9.081934200300001</c:v>
                </c:pt>
                <c:pt idx="1">
                  <c:v>15.406646963400007</c:v>
                </c:pt>
                <c:pt idx="2">
                  <c:v>9.0470208293611787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D-C744-9B40-68BABB58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576096"/>
        <c:axId val="1734653824"/>
      </c:barChart>
      <c:catAx>
        <c:axId val="1734576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53824"/>
        <c:crosses val="autoZero"/>
        <c:auto val="1"/>
        <c:lblAlgn val="ctr"/>
        <c:lblOffset val="100"/>
        <c:noMultiLvlLbl val="0"/>
      </c:catAx>
      <c:valAx>
        <c:axId val="173465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 Income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7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ROE FY2022-2024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Chartbook!$B$11</c:f>
              <c:strCache>
                <c:ptCount val="1"/>
                <c:pt idx="0">
                  <c:v>Barclays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Chartbook!$A$12:$A$14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Chartbook!$B$12:$B$14</c:f>
              <c:numCache>
                <c:formatCode>General</c:formatCode>
                <c:ptCount val="3"/>
                <c:pt idx="0">
                  <c:v>8.6804000000000006</c:v>
                </c:pt>
                <c:pt idx="1">
                  <c:v>7.3857999999999997</c:v>
                </c:pt>
                <c:pt idx="2">
                  <c:v>8.7815999999999992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D-2D49-A832-BCBBF05BD4C3}"/>
            </c:ext>
          </c:extLst>
        </c:ser>
        <c:ser>
          <c:idx val="1"/>
          <c:order val="1"/>
          <c:tx>
            <c:strRef>
              <c:f>Chartbook!$C$11</c:f>
              <c:strCache>
                <c:ptCount val="1"/>
                <c:pt idx="0">
                  <c:v>BNP Paribas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Chartbook!$A$12:$A$14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Chartbook!$C$12:$C$14</c:f>
              <c:numCache>
                <c:formatCode>General</c:formatCode>
                <c:ptCount val="3"/>
                <c:pt idx="0">
                  <c:v>8.1228999999999996</c:v>
                </c:pt>
                <c:pt idx="1">
                  <c:v>8.8693000000000008</c:v>
                </c:pt>
                <c:pt idx="2">
                  <c:v>9.1214999999999993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D-2D49-A832-BCBBF05BD4C3}"/>
            </c:ext>
          </c:extLst>
        </c:ser>
        <c:ser>
          <c:idx val="2"/>
          <c:order val="2"/>
          <c:tx>
            <c:strRef>
              <c:f>Chartbook!$D$11</c:f>
              <c:strCache>
                <c:ptCount val="1"/>
                <c:pt idx="0">
                  <c:v>Deutsche Bank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Chartbook!$A$12:$A$14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Chartbook!$D$12:$D$14</c:f>
              <c:numCache>
                <c:formatCode>General</c:formatCode>
                <c:ptCount val="3"/>
                <c:pt idx="0">
                  <c:v>7.8327999999999998</c:v>
                </c:pt>
                <c:pt idx="1">
                  <c:v>6.5321999999999996</c:v>
                </c:pt>
                <c:pt idx="2">
                  <c:v>4.3250000000000002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D-2D49-A832-BCBBF05BD4C3}"/>
            </c:ext>
          </c:extLst>
        </c:ser>
        <c:ser>
          <c:idx val="3"/>
          <c:order val="3"/>
          <c:tx>
            <c:strRef>
              <c:f>Chartbook!$E$11</c:f>
              <c:strCache>
                <c:ptCount val="1"/>
                <c:pt idx="0">
                  <c:v>10%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Chartbook!$A$12:$A$14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Chartbook!$E$12:$E$14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3D-2D49-A832-BCBBF05BD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925104"/>
        <c:axId val="1734926816"/>
      </c:lineChart>
      <c:catAx>
        <c:axId val="173492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26816"/>
        <c:crosses val="autoZero"/>
        <c:auto val="1"/>
        <c:lblAlgn val="ctr"/>
        <c:lblOffset val="100"/>
        <c:noMultiLvlLbl val="0"/>
      </c:catAx>
      <c:valAx>
        <c:axId val="173492681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2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NIM FY2022–2024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Chartbook!$B$17</c:f>
              <c:strCache>
                <c:ptCount val="1"/>
                <c:pt idx="0">
                  <c:v>Barclays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Chartbook!$A$18:$A$20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Chartbook!$B$18:$B$20</c:f>
              <c:numCache>
                <c:formatCode>General</c:formatCode>
                <c:ptCount val="3"/>
                <c:pt idx="0">
                  <c:v>0.69840000000000002</c:v>
                </c:pt>
                <c:pt idx="1">
                  <c:v>0.86019999999999996</c:v>
                </c:pt>
                <c:pt idx="2">
                  <c:v>0.85209999999999997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5-8F4C-934C-053CCD4A15E3}"/>
            </c:ext>
          </c:extLst>
        </c:ser>
        <c:ser>
          <c:idx val="1"/>
          <c:order val="1"/>
          <c:tx>
            <c:strRef>
              <c:f>Chartbook!$C$17</c:f>
              <c:strCache>
                <c:ptCount val="1"/>
                <c:pt idx="0">
                  <c:v>BNP Paribas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Chartbook!$A$18:$A$20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Chartbook!$C$18:$C$20</c:f>
              <c:numCache>
                <c:formatCode>General</c:formatCode>
                <c:ptCount val="3"/>
                <c:pt idx="0">
                  <c:v>0.78580000000000005</c:v>
                </c:pt>
                <c:pt idx="1">
                  <c:v>0.73540000000000005</c:v>
                </c:pt>
                <c:pt idx="2">
                  <c:v>0.7218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5-8F4C-934C-053CCD4A15E3}"/>
            </c:ext>
          </c:extLst>
        </c:ser>
        <c:ser>
          <c:idx val="2"/>
          <c:order val="2"/>
          <c:tx>
            <c:strRef>
              <c:f>Chartbook!$D$17</c:f>
              <c:strCache>
                <c:ptCount val="1"/>
                <c:pt idx="0">
                  <c:v>Deutsche Bank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Chartbook!$A$18:$A$20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Chartbook!$D$18:$D$20</c:f>
              <c:numCache>
                <c:formatCode>General</c:formatCode>
                <c:ptCount val="3"/>
                <c:pt idx="0">
                  <c:v>1.0210999999999999</c:v>
                </c:pt>
                <c:pt idx="1">
                  <c:v>1.0365</c:v>
                </c:pt>
                <c:pt idx="2">
                  <c:v>0.94179999999999997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5-8F4C-934C-053CCD4A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228032"/>
        <c:axId val="1735296768"/>
      </c:lineChart>
      <c:catAx>
        <c:axId val="173522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96768"/>
        <c:crosses val="autoZero"/>
        <c:auto val="1"/>
        <c:lblAlgn val="ctr"/>
        <c:lblOffset val="100"/>
        <c:noMultiLvlLbl val="0"/>
      </c:catAx>
      <c:valAx>
        <c:axId val="173529676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NIM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2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FY2024 Cost-to-Income Ratio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Chartbook!$B$23</c:f>
              <c:strCache>
                <c:ptCount val="1"/>
                <c:pt idx="0">
                  <c:v>C/I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Chartbook!$A$24:$A$26</c:f>
              <c:strCache>
                <c:ptCount val="3"/>
                <c:pt idx="0">
                  <c:v>Barclays</c:v>
                </c:pt>
                <c:pt idx="1">
                  <c:v>BNP Paribas</c:v>
                </c:pt>
                <c:pt idx="2">
                  <c:v>Deutsche Bank</c:v>
                </c:pt>
              </c:strCache>
            </c:strRef>
          </c:cat>
          <c:val>
            <c:numRef>
              <c:f>Chartbook!$B$24:$B$26</c:f>
              <c:numCache>
                <c:formatCode>General</c:formatCode>
                <c:ptCount val="3"/>
                <c:pt idx="0">
                  <c:v>60.861600000000003</c:v>
                </c:pt>
                <c:pt idx="1">
                  <c:v>71.964500000000001</c:v>
                </c:pt>
                <c:pt idx="2">
                  <c:v>59.972700000000003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B-3E4E-A408-6D7F1ED2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944864"/>
        <c:axId val="1817404208"/>
      </c:barChart>
      <c:lineChart>
        <c:grouping val="standard"/>
        <c:varyColors val="0"/>
        <c:ser>
          <c:idx val="1"/>
          <c:order val="1"/>
          <c:tx>
            <c:strRef>
              <c:f>Chartbook!$C$23</c:f>
              <c:strCache>
                <c:ptCount val="1"/>
                <c:pt idx="0">
                  <c:v>70% Threshold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Chartbook!$A$24:$A$26</c:f>
              <c:strCache>
                <c:ptCount val="3"/>
                <c:pt idx="0">
                  <c:v>Barclays</c:v>
                </c:pt>
                <c:pt idx="1">
                  <c:v>BNP Paribas</c:v>
                </c:pt>
                <c:pt idx="2">
                  <c:v>Deutsche Bank</c:v>
                </c:pt>
              </c:strCache>
            </c:strRef>
          </c:cat>
          <c:val>
            <c:numRef>
              <c:f>Chartbook!$C$24:$C$26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B-3E4E-A408-6D7F1ED2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944864"/>
        <c:axId val="1817404208"/>
      </c:lineChart>
      <c:catAx>
        <c:axId val="197394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04208"/>
        <c:crosses val="autoZero"/>
        <c:auto val="1"/>
        <c:lblAlgn val="ctr"/>
        <c:lblOffset val="100"/>
        <c:noMultiLvlLbl val="0"/>
      </c:catAx>
      <c:valAx>
        <c:axId val="18174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Cost/Income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4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A9845-D816-0203-BA37-36DBB9C8B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C260F-7326-CDEF-7203-D79A33066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B98581-E79A-744D-52D1-5267101E8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14</xdr:col>
      <xdr:colOff>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CA75E2-93C6-321A-EF0E-CC196903E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5792AA4-ED26-3F40-B7A3-74AD1D744D75}" autoFormatId="16" applyNumberFormats="0" applyBorderFormats="0" applyFontFormats="0" applyPatternFormats="0" applyAlignmentFormats="0" applyWidthHeightFormats="0">
  <queryTableRefresh nextId="8">
    <queryTableFields count="7">
      <queryTableField id="1" name="Bank" tableColumnId="1"/>
      <queryTableField id="2" name="Year" tableColumnId="2"/>
      <queryTableField id="3" name="NIM (%)" tableColumnId="3"/>
      <queryTableField id="4" name="ROE (%)" tableColumnId="4"/>
      <queryTableField id="5" name="ROA (%)" tableColumnId="5"/>
      <queryTableField id="6" name="Cost to Income (%)" tableColumnId="6"/>
      <queryTableField id="7" name="Net Income (bn)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A37394B1-B27C-5B4D-A68E-B337DD874AF2}" autoFormatId="16" applyNumberFormats="0" applyBorderFormats="0" applyFontFormats="0" applyPatternFormats="0" applyAlignmentFormats="0" applyWidthHeightFormats="0">
  <queryTableRefresh nextId="8">
    <queryTableFields count="7">
      <queryTableField id="1" name="Bank" tableColumnId="1"/>
      <queryTableField id="2" name="Scenario" tableColumnId="2"/>
      <queryTableField id="3" name="NIM (%)" tableColumnId="3"/>
      <queryTableField id="4" name="Net Income (bn)" tableColumnId="4"/>
      <queryTableField id="5" name="ROE (%)" tableColumnId="5"/>
      <queryTableField id="6" name="Income Change (bn)" tableColumnId="6"/>
      <queryTableField id="7" name="Income Change (%)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E58185BD-AD72-FF4E-8A8E-DF8EEFCEC26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Barclays" tableColumnId="2"/>
      <queryTableField id="3" name="BNP Paribas" tableColumnId="3"/>
      <queryTableField id="4" name="Deutsche Ban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B3077-844F-3840-A1A8-5567AAB112E8}" name="ratios_summary" displayName="ratios_summary" ref="A1:G10" tableType="queryTable" totalsRowShown="0">
  <autoFilter ref="A1:G10" xr:uid="{B35B3077-844F-3840-A1A8-5567AAB112E8}"/>
  <tableColumns count="7">
    <tableColumn id="1" xr3:uid="{85CDC0F5-4BD3-054D-A80E-D1540467E7BB}" uniqueName="1" name="Bank" queryTableFieldId="1" dataDxfId="12"/>
    <tableColumn id="2" xr3:uid="{975F3B08-BAC8-F844-BF17-7094BAE245F9}" uniqueName="2" name="Year" queryTableFieldId="2"/>
    <tableColumn id="3" xr3:uid="{EFA33D18-69D8-6A47-BC90-44DAE337C13E}" uniqueName="3" name="NIM (%)" queryTableFieldId="3"/>
    <tableColumn id="4" xr3:uid="{1C85E87E-F589-1042-B07F-4FE9274BDCC2}" uniqueName="4" name="ROE (%)" queryTableFieldId="4"/>
    <tableColumn id="5" xr3:uid="{158F804C-D281-D343-A498-1422AD8EC318}" uniqueName="5" name="ROA (%)" queryTableFieldId="5"/>
    <tableColumn id="6" xr3:uid="{16FE7DAC-B1AC-E34E-AD1C-5CCA9458F20C}" uniqueName="6" name="Cost to Income (%)" queryTableFieldId="6"/>
    <tableColumn id="7" xr3:uid="{FF347B4A-76CB-DD49-BDF1-42009DB78EE2}" uniqueName="7" name="Net Income (bn)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91B119-14AF-934D-9CEB-21F9BAF61F0F}" name="sensitivity_results" displayName="sensitivity_results" ref="A1:G10" tableType="queryTable" totalsRowShown="0">
  <autoFilter ref="A1:G10" xr:uid="{B391B119-14AF-934D-9CEB-21F9BAF61F0F}"/>
  <tableColumns count="7">
    <tableColumn id="1" xr3:uid="{C80B11E0-E761-7D4C-B605-4AFDDEA4BB1D}" uniqueName="1" name="Bank" queryTableFieldId="1" dataDxfId="10"/>
    <tableColumn id="2" xr3:uid="{322297A0-0C9C-EF48-A606-E61C898E7B05}" uniqueName="2" name="Scenario" queryTableFieldId="2" dataDxfId="9"/>
    <tableColumn id="3" xr3:uid="{2DCE745D-0730-1340-8D67-4522DC4E11C0}" uniqueName="3" name="NIM (%)" queryTableFieldId="3"/>
    <tableColumn id="4" xr3:uid="{EE4B038A-FD59-D14F-A425-6E0896F69E33}" uniqueName="4" name="Net Income (bn)" queryTableFieldId="4"/>
    <tableColumn id="5" xr3:uid="{F02F10D7-FA92-7749-B225-EFEFFD13D610}" uniqueName="5" name="ROE (%)" queryTableFieldId="5"/>
    <tableColumn id="6" xr3:uid="{D765DA80-7B88-EB4D-A671-7DCCCF792147}" uniqueName="6" name="Income Change (bn)" queryTableFieldId="6"/>
    <tableColumn id="7" xr3:uid="{7C78C128-2588-6C41-8629-ECB50F275CEC}" uniqueName="7" name="Income Change (%)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61FE2B-FE10-2642-9708-0D02DD789D80}" name="bank_prices" displayName="bank_prices" ref="A1:D1527" tableType="queryTable" totalsRowShown="0">
  <autoFilter ref="A1:D1527" xr:uid="{6C61FE2B-FE10-2642-9708-0D02DD789D80}"/>
  <tableColumns count="4">
    <tableColumn id="1" xr3:uid="{88F104F4-291A-364D-8F6E-6569E440D156}" uniqueName="1" name="Date" queryTableFieldId="1" dataDxfId="11"/>
    <tableColumn id="2" xr3:uid="{CEADBE85-D5F8-154D-9FE0-C8B8A09FABA5}" uniqueName="2" name="Barclays" queryTableFieldId="2"/>
    <tableColumn id="3" xr3:uid="{DB8E154A-C95E-7445-9BCB-136F3903CBC1}" uniqueName="3" name="BNP Paribas" queryTableFieldId="3"/>
    <tableColumn id="4" xr3:uid="{F6F08A17-61F9-BA41-873D-B5B2D8E99157}" uniqueName="4" name="Deutsche Ban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BED103-CC9C-9B40-B522-9995648E3A9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3314acd-fe09-4067-8c58-91469b713a79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2158-6C6D-2E48-AB54-66ADFA8AA02C}">
  <dimension ref="A1:Z100"/>
  <sheetViews>
    <sheetView workbookViewId="0">
      <selection activeCell="C36" sqref="C36"/>
    </sheetView>
  </sheetViews>
  <sheetFormatPr baseColWidth="10" defaultRowHeight="16" x14ac:dyDescent="0.2"/>
  <cols>
    <col min="1" max="1" width="3.33203125" customWidth="1"/>
    <col min="2" max="2" width="38.33203125" customWidth="1"/>
    <col min="3" max="3" width="80" customWidth="1"/>
  </cols>
  <sheetData>
    <row r="1" spans="1:26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29" x14ac:dyDescent="0.35">
      <c r="A2" s="38"/>
      <c r="B2" s="39" t="s">
        <v>246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8"/>
      <c r="B4" s="40" t="s">
        <v>223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8"/>
      <c r="B5" s="40" t="s">
        <v>224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8"/>
      <c r="B6" s="40" t="s">
        <v>215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9" x14ac:dyDescent="0.25">
      <c r="A8" s="38"/>
      <c r="B8" s="41" t="s">
        <v>225</v>
      </c>
      <c r="C8" s="42" t="s">
        <v>226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8"/>
      <c r="B9" s="43" t="s">
        <v>227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38"/>
      <c r="B10" s="44" t="str">
        <f>HYPERLINK("#Assumptions!A1","Assumptions")</f>
        <v>Assumptions</v>
      </c>
      <c r="C10" s="38" t="s">
        <v>228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44" t="str">
        <f>HYPERLINK("#Calc_Barclays!A1","Calc_Barclays")</f>
        <v>Calc_Barclays</v>
      </c>
      <c r="C11" s="38" t="s">
        <v>229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44" t="str">
        <f>HYPERLINK("#Calc_BNP!A1","Calc_BNP")</f>
        <v>Calc_BNP</v>
      </c>
      <c r="C12" s="38" t="s">
        <v>230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44" t="str">
        <f>HYPERLINK("#Calc_Deutsche!A1","Calc_Deutsche")</f>
        <v>Calc_Deutsche</v>
      </c>
      <c r="C13" s="38" t="s">
        <v>231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44" t="str">
        <f>HYPERLINK("#Sensitivity!A1","Sensitivity")</f>
        <v>Sensitivity</v>
      </c>
      <c r="C14" s="38" t="s">
        <v>232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44" t="str">
        <f>HYPERLINK("#Scenarios!A1","Scenarios")</f>
        <v>Scenarios</v>
      </c>
      <c r="C15" s="38" t="s">
        <v>233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44" t="str">
        <f>HYPERLINK("#Chartbook!A1","Chartbook")</f>
        <v>Chartbook</v>
      </c>
      <c r="C16" s="38" t="s">
        <v>234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45" t="s">
        <v>235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44" t="str">
        <f>HYPERLINK("#ratios_summary!A1","ratios_summary")</f>
        <v>ratios_summary</v>
      </c>
      <c r="C19" s="38" t="s">
        <v>236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44" t="str">
        <f>HYPERLINK("#sensitivity_results!A1","sensitivity_results")</f>
        <v>sensitivity_results</v>
      </c>
      <c r="C20" s="38" t="s">
        <v>237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44" t="str">
        <f>HYPERLINK("#income_Barclays!A1","income_Barclays")</f>
        <v>income_Barclays</v>
      </c>
      <c r="C21" s="38" t="s">
        <v>245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44" t="str">
        <f>HYPERLINK("#income_BNP_Paribas!A1","income_BNP_Paribas")</f>
        <v>income_BNP_Paribas</v>
      </c>
      <c r="C22" s="38" t="s">
        <v>244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44" t="str">
        <f>HYPERLINK("#income_Deutsche_Bank!A1","income_Deutsche_Bank")</f>
        <v>income_Deutsche_Bank</v>
      </c>
      <c r="C23" s="38" t="s">
        <v>243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44" t="str">
        <f>HYPERLINK("#balance_Barclays!A1","balance_Barclays")</f>
        <v>balance_Barclays</v>
      </c>
      <c r="C24" s="38" t="s">
        <v>242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44" t="str">
        <f>HYPERLINK("#balance_BNP_Paribas!A1","balance_BNP_Paribas")</f>
        <v>balance_BNP_Paribas</v>
      </c>
      <c r="C25" s="38" t="s">
        <v>241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44" t="str">
        <f>HYPERLINK("#balance_Deutsche_Bank!A1","balance_Deutsche_Bank")</f>
        <v>balance_Deutsche_Bank</v>
      </c>
      <c r="C26" s="38" t="s">
        <v>240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44" t="str">
        <f>HYPERLINK("#bank_metrics!A1","bank_metrics")</f>
        <v>bank_metrics</v>
      </c>
      <c r="C27" s="38" t="s">
        <v>238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44" t="str">
        <f>HYPERLINK("#bank_prices!A1","bank_prices")</f>
        <v>bank_prices</v>
      </c>
      <c r="C28" s="38" t="s">
        <v>239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5B40-3F26-FD42-9E97-98B209817EC5}">
  <dimension ref="A1:G17"/>
  <sheetViews>
    <sheetView workbookViewId="0">
      <selection activeCell="F30" sqref="F30"/>
    </sheetView>
  </sheetViews>
  <sheetFormatPr baseColWidth="10" defaultRowHeight="16" x14ac:dyDescent="0.2"/>
  <cols>
    <col min="1" max="1" width="26.6640625" customWidth="1"/>
    <col min="2" max="7" width="15.83203125" customWidth="1"/>
  </cols>
  <sheetData>
    <row r="1" spans="1:7" ht="19" x14ac:dyDescent="0.25">
      <c r="A1" s="5" t="s">
        <v>247</v>
      </c>
    </row>
    <row r="3" spans="1:7" x14ac:dyDescent="0.2">
      <c r="A3" s="3" t="s">
        <v>154</v>
      </c>
      <c r="D3" s="7" t="s">
        <v>155</v>
      </c>
      <c r="E3" s="8" t="s">
        <v>156</v>
      </c>
    </row>
    <row r="5" spans="1:7" x14ac:dyDescent="0.2">
      <c r="A5" s="9" t="s">
        <v>157</v>
      </c>
      <c r="B5" s="10" t="s">
        <v>158</v>
      </c>
      <c r="C5" s="10" t="s">
        <v>155</v>
      </c>
      <c r="D5" s="10" t="s">
        <v>159</v>
      </c>
      <c r="E5" s="11" t="s">
        <v>160</v>
      </c>
      <c r="F5" s="10" t="s">
        <v>161</v>
      </c>
      <c r="G5" s="10" t="s">
        <v>162</v>
      </c>
    </row>
    <row r="6" spans="1:7" x14ac:dyDescent="0.2">
      <c r="A6" t="s">
        <v>163</v>
      </c>
      <c r="B6" s="12">
        <v>1.7500000000000002E-2</v>
      </c>
      <c r="C6" s="12">
        <v>2.2499999999999999E-2</v>
      </c>
      <c r="D6" s="12">
        <v>2.75E-2</v>
      </c>
      <c r="E6" s="13">
        <f>CHOOSE(MATCH($D$3,{"Bear","Base","Bull"},0),B6,C6,D6)</f>
        <v>2.2499999999999999E-2</v>
      </c>
      <c r="F6" s="12">
        <v>3.15E-2</v>
      </c>
      <c r="G6" s="14">
        <f>E6-F6</f>
        <v>-9.0000000000000011E-3</v>
      </c>
    </row>
    <row r="7" spans="1:7" x14ac:dyDescent="0.2">
      <c r="A7" t="s">
        <v>164</v>
      </c>
      <c r="B7" s="12">
        <v>3.7499999999999999E-2</v>
      </c>
      <c r="C7" s="12">
        <v>4.2500000000000003E-2</v>
      </c>
      <c r="D7" s="12">
        <v>4.7500000000000001E-2</v>
      </c>
      <c r="E7" s="13">
        <f>CHOOSE(MATCH($D$3,{"Bear","Base","Bull"},0),B7,C7,D7)</f>
        <v>4.2500000000000003E-2</v>
      </c>
      <c r="F7" s="12">
        <v>0.05</v>
      </c>
      <c r="G7" s="14">
        <f>E7-F7</f>
        <v>-7.4999999999999997E-3</v>
      </c>
    </row>
    <row r="9" spans="1:7" x14ac:dyDescent="0.2">
      <c r="A9" s="9" t="s">
        <v>165</v>
      </c>
      <c r="B9" s="10" t="s">
        <v>7</v>
      </c>
      <c r="C9" s="10" t="s">
        <v>8</v>
      </c>
      <c r="D9" s="10" t="s">
        <v>9</v>
      </c>
      <c r="E9" s="10" t="s">
        <v>166</v>
      </c>
    </row>
    <row r="10" spans="1:7" x14ac:dyDescent="0.2">
      <c r="A10" t="s">
        <v>167</v>
      </c>
      <c r="B10" s="15">
        <v>0.42</v>
      </c>
      <c r="C10" s="15">
        <v>0.38</v>
      </c>
      <c r="D10" s="15">
        <v>0.32</v>
      </c>
    </row>
    <row r="11" spans="1:7" x14ac:dyDescent="0.2">
      <c r="A11" t="s">
        <v>168</v>
      </c>
      <c r="B11" s="15">
        <v>0.65</v>
      </c>
      <c r="C11" s="15">
        <v>0.6</v>
      </c>
      <c r="D11" s="15">
        <v>0.7</v>
      </c>
    </row>
    <row r="12" spans="1:7" x14ac:dyDescent="0.2">
      <c r="A12" t="s">
        <v>169</v>
      </c>
      <c r="B12" s="15">
        <v>0.02</v>
      </c>
      <c r="C12" s="15">
        <v>0.02</v>
      </c>
      <c r="D12" s="15">
        <v>0.02</v>
      </c>
    </row>
    <row r="13" spans="1:7" x14ac:dyDescent="0.2">
      <c r="A13" t="s">
        <v>170</v>
      </c>
      <c r="B13" s="15">
        <v>0.02</v>
      </c>
      <c r="C13" s="15">
        <v>0.02</v>
      </c>
      <c r="D13" s="15">
        <v>0.02</v>
      </c>
    </row>
    <row r="14" spans="1:7" x14ac:dyDescent="0.2">
      <c r="A14" t="s">
        <v>171</v>
      </c>
      <c r="B14" s="15">
        <v>0.22</v>
      </c>
      <c r="C14" s="15">
        <v>0.26500000000000001</v>
      </c>
      <c r="D14" s="15">
        <v>0.25</v>
      </c>
    </row>
    <row r="15" spans="1:7" x14ac:dyDescent="0.2">
      <c r="A15" t="s">
        <v>172</v>
      </c>
      <c r="B15" s="16" t="s">
        <v>173</v>
      </c>
      <c r="C15" s="16" t="s">
        <v>174</v>
      </c>
      <c r="D15" s="16" t="s">
        <v>174</v>
      </c>
    </row>
    <row r="17" spans="1:5" x14ac:dyDescent="0.2">
      <c r="A17" s="3" t="s">
        <v>175</v>
      </c>
      <c r="B17" s="6" t="s">
        <v>176</v>
      </c>
      <c r="C17" s="17" t="s">
        <v>177</v>
      </c>
      <c r="D17" s="18" t="s">
        <v>178</v>
      </c>
      <c r="E17" s="19" t="s">
        <v>179</v>
      </c>
    </row>
  </sheetData>
  <dataValidations count="1">
    <dataValidation type="list" allowBlank="1" showInputMessage="1" showErrorMessage="1" sqref="D3" xr:uid="{5E2B36A4-C550-BC4F-B9E5-D83C385D49E9}">
      <formula1>"Bear,Base,Bull"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BAA1-759A-BD4A-AA5C-00A95295D96A}">
  <dimension ref="A1:C35"/>
  <sheetViews>
    <sheetView workbookViewId="0">
      <selection activeCell="E27" sqref="E27"/>
    </sheetView>
  </sheetViews>
  <sheetFormatPr baseColWidth="10" defaultRowHeight="16" x14ac:dyDescent="0.2"/>
  <cols>
    <col min="1" max="1" width="40" customWidth="1"/>
    <col min="2" max="3" width="16.6640625" customWidth="1"/>
  </cols>
  <sheetData>
    <row r="1" spans="1:3" ht="19" x14ac:dyDescent="0.25">
      <c r="A1" s="5" t="s">
        <v>248</v>
      </c>
    </row>
    <row r="2" spans="1:3" x14ac:dyDescent="0.2">
      <c r="A2" s="8" t="s">
        <v>180</v>
      </c>
    </row>
    <row r="4" spans="1:3" x14ac:dyDescent="0.2">
      <c r="B4" s="20" t="s">
        <v>181</v>
      </c>
      <c r="C4" s="20" t="s">
        <v>182</v>
      </c>
    </row>
    <row r="6" spans="1:3" x14ac:dyDescent="0.2">
      <c r="A6" s="21" t="s">
        <v>183</v>
      </c>
    </row>
    <row r="7" spans="1:3" x14ac:dyDescent="0.2">
      <c r="A7" t="s">
        <v>100</v>
      </c>
      <c r="B7" s="22">
        <f>income_Barclays!C8/1000000000</f>
        <v>12.936</v>
      </c>
      <c r="C7" s="23">
        <f>C32*C35</f>
        <v>8.6432838449999991</v>
      </c>
    </row>
    <row r="8" spans="1:3" x14ac:dyDescent="0.2">
      <c r="A8" t="s">
        <v>184</v>
      </c>
      <c r="B8" s="23">
        <f>B9-B7</f>
        <v>13.294</v>
      </c>
      <c r="C8" s="23">
        <f>B8*(1+Assumptions!B13)</f>
        <v>13.559880000000001</v>
      </c>
    </row>
    <row r="9" spans="1:3" x14ac:dyDescent="0.2">
      <c r="A9" t="s">
        <v>89</v>
      </c>
      <c r="B9" s="22">
        <f>income_Barclays!C40/1000000000</f>
        <v>26.23</v>
      </c>
      <c r="C9" s="23">
        <f>C7+C8</f>
        <v>22.203163844999999</v>
      </c>
    </row>
    <row r="10" spans="1:3" x14ac:dyDescent="0.2">
      <c r="A10" t="s">
        <v>124</v>
      </c>
      <c r="B10" s="22">
        <f>income_Barclays!C32/1000000000</f>
        <v>15.964</v>
      </c>
      <c r="C10" s="23">
        <f>B10*(1+Assumptions!B12)</f>
        <v>16.283280000000001</v>
      </c>
    </row>
    <row r="11" spans="1:3" x14ac:dyDescent="0.2">
      <c r="A11" t="s">
        <v>118</v>
      </c>
      <c r="B11" s="22">
        <f>income_Barclays!C26/1000000000</f>
        <v>8.1080000000000005</v>
      </c>
      <c r="C11" s="23">
        <f>C9-C10</f>
        <v>5.9198838449999975</v>
      </c>
    </row>
    <row r="12" spans="1:3" x14ac:dyDescent="0.2">
      <c r="A12" t="s">
        <v>117</v>
      </c>
      <c r="B12" s="22">
        <f>income_Barclays!C25/1000000000</f>
        <v>1.752</v>
      </c>
      <c r="C12" s="23">
        <f>C11*Assumptions!B14</f>
        <v>1.3023744458999995</v>
      </c>
    </row>
    <row r="13" spans="1:3" x14ac:dyDescent="0.2">
      <c r="A13" s="3" t="s">
        <v>112</v>
      </c>
      <c r="B13" s="24">
        <f>income_Barclays!C20/1000000000</f>
        <v>6.3070000000000004</v>
      </c>
      <c r="C13" s="29">
        <f>C11-C12</f>
        <v>4.6175093990999976</v>
      </c>
    </row>
    <row r="15" spans="1:3" x14ac:dyDescent="0.2">
      <c r="A15" s="21" t="s">
        <v>185</v>
      </c>
    </row>
    <row r="16" spans="1:3" x14ac:dyDescent="0.2">
      <c r="A16" t="s">
        <v>33</v>
      </c>
      <c r="B16" s="22">
        <f>balance_Barclays!C25/1000000000</f>
        <v>1518.202</v>
      </c>
      <c r="C16" s="23">
        <f>C35</f>
        <v>1518.202</v>
      </c>
    </row>
    <row r="17" spans="1:3" x14ac:dyDescent="0.2">
      <c r="A17" t="s">
        <v>17</v>
      </c>
      <c r="B17" s="22">
        <f>balance_Barclays!C9/1000000000</f>
        <v>71.820999999999998</v>
      </c>
      <c r="C17" s="23">
        <f>B17+C13</f>
        <v>76.438509399099999</v>
      </c>
    </row>
    <row r="19" spans="1:3" x14ac:dyDescent="0.2">
      <c r="A19" s="21" t="s">
        <v>186</v>
      </c>
    </row>
    <row r="20" spans="1:3" x14ac:dyDescent="0.2">
      <c r="A20" t="s">
        <v>187</v>
      </c>
      <c r="B20" s="14">
        <f>B7/B16</f>
        <v>8.5206052949475756E-3</v>
      </c>
      <c r="C20" s="14">
        <f>C7/C16</f>
        <v>5.6931052949475754E-3</v>
      </c>
    </row>
    <row r="21" spans="1:3" x14ac:dyDescent="0.2">
      <c r="A21" t="s">
        <v>188</v>
      </c>
      <c r="B21" s="25">
        <f>B12/B11</f>
        <v>0.21608288110508139</v>
      </c>
      <c r="C21" s="27">
        <f>Assumptions!B14</f>
        <v>0.22</v>
      </c>
    </row>
    <row r="22" spans="1:3" x14ac:dyDescent="0.2">
      <c r="A22" t="s">
        <v>189</v>
      </c>
      <c r="B22" s="14">
        <f>B13/B17</f>
        <v>8.7815541415463452E-2</v>
      </c>
      <c r="C22" s="14">
        <f>C13/((B17+C17)/2)</f>
        <v>6.2289554549517852E-2</v>
      </c>
    </row>
    <row r="23" spans="1:3" x14ac:dyDescent="0.2">
      <c r="A23" t="s">
        <v>190</v>
      </c>
      <c r="B23" s="25">
        <f>B10/B9</f>
        <v>0.60861608844834159</v>
      </c>
      <c r="C23" s="25">
        <f>C10/C9</f>
        <v>0.73337656352371083</v>
      </c>
    </row>
    <row r="25" spans="1:3" x14ac:dyDescent="0.2">
      <c r="A25" s="21" t="s">
        <v>191</v>
      </c>
    </row>
    <row r="26" spans="1:3" x14ac:dyDescent="0.2">
      <c r="A26" t="s">
        <v>192</v>
      </c>
      <c r="C26" s="26">
        <f>Assumptions!E7</f>
        <v>4.2500000000000003E-2</v>
      </c>
    </row>
    <row r="27" spans="1:3" x14ac:dyDescent="0.2">
      <c r="A27" t="s">
        <v>193</v>
      </c>
      <c r="C27" s="26">
        <f>Assumptions!F7</f>
        <v>0.05</v>
      </c>
    </row>
    <row r="28" spans="1:3" x14ac:dyDescent="0.2">
      <c r="A28" t="s">
        <v>162</v>
      </c>
      <c r="C28" s="14">
        <f>C26-C27</f>
        <v>-7.4999999999999997E-3</v>
      </c>
    </row>
    <row r="29" spans="1:3" x14ac:dyDescent="0.2">
      <c r="A29" t="s">
        <v>167</v>
      </c>
      <c r="C29" s="27">
        <f>Assumptions!B10</f>
        <v>0.42</v>
      </c>
    </row>
    <row r="30" spans="1:3" x14ac:dyDescent="0.2">
      <c r="A30" t="s">
        <v>168</v>
      </c>
      <c r="C30" s="27">
        <f>Assumptions!B11</f>
        <v>0.65</v>
      </c>
    </row>
    <row r="31" spans="1:3" x14ac:dyDescent="0.2">
      <c r="A31" t="s">
        <v>194</v>
      </c>
      <c r="C31" s="14">
        <f>C28*(1-C29)*C30</f>
        <v>-2.8275000000000006E-3</v>
      </c>
    </row>
    <row r="32" spans="1:3" x14ac:dyDescent="0.2">
      <c r="A32" t="s">
        <v>195</v>
      </c>
      <c r="B32" s="14">
        <f>B20</f>
        <v>8.5206052949475756E-3</v>
      </c>
      <c r="C32" s="28">
        <f>B20+C31</f>
        <v>5.6931052949475754E-3</v>
      </c>
    </row>
    <row r="34" spans="1:3" x14ac:dyDescent="0.2">
      <c r="A34" s="21" t="s">
        <v>196</v>
      </c>
    </row>
    <row r="35" spans="1:3" x14ac:dyDescent="0.2">
      <c r="A35" t="s">
        <v>197</v>
      </c>
      <c r="C35" s="23">
        <f>B16</f>
        <v>1518.202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D713-871C-2C4A-8F61-4C11E39AA036}">
  <dimension ref="A1:C35"/>
  <sheetViews>
    <sheetView workbookViewId="0">
      <selection activeCell="A9" sqref="A9"/>
    </sheetView>
  </sheetViews>
  <sheetFormatPr baseColWidth="10" defaultRowHeight="16" x14ac:dyDescent="0.2"/>
  <cols>
    <col min="1" max="1" width="40" customWidth="1"/>
    <col min="2" max="3" width="16.6640625" customWidth="1"/>
  </cols>
  <sheetData>
    <row r="1" spans="1:3" ht="19" x14ac:dyDescent="0.25">
      <c r="A1" s="5" t="s">
        <v>249</v>
      </c>
    </row>
    <row r="2" spans="1:3" x14ac:dyDescent="0.2">
      <c r="A2" s="8" t="s">
        <v>198</v>
      </c>
    </row>
    <row r="4" spans="1:3" x14ac:dyDescent="0.2">
      <c r="B4" s="20" t="s">
        <v>181</v>
      </c>
      <c r="C4" s="20" t="s">
        <v>182</v>
      </c>
    </row>
    <row r="6" spans="1:3" x14ac:dyDescent="0.2">
      <c r="A6" s="21" t="s">
        <v>183</v>
      </c>
    </row>
    <row r="7" spans="1:3" x14ac:dyDescent="0.2">
      <c r="A7" t="s">
        <v>100</v>
      </c>
      <c r="B7" s="22">
        <f>income_BNP_Paribas!C8/1000000000</f>
        <v>19.524000000000001</v>
      </c>
      <c r="C7" s="23">
        <f>C32*C35</f>
        <v>10.467968016</v>
      </c>
    </row>
    <row r="8" spans="1:3" x14ac:dyDescent="0.2">
      <c r="A8" t="s">
        <v>184</v>
      </c>
      <c r="B8" s="23">
        <f>B9-B7</f>
        <v>46.346000000000004</v>
      </c>
      <c r="C8" s="23">
        <f>B8*(1+Assumptions!C13)</f>
        <v>47.272920000000006</v>
      </c>
    </row>
    <row r="9" spans="1:3" x14ac:dyDescent="0.2">
      <c r="A9" t="s">
        <v>89</v>
      </c>
      <c r="B9" s="22">
        <f>income_BNP_Paribas!C41/1000000000</f>
        <v>65.87</v>
      </c>
      <c r="C9" s="23">
        <f>C7+C8</f>
        <v>57.740888016000007</v>
      </c>
    </row>
    <row r="10" spans="1:3" x14ac:dyDescent="0.2">
      <c r="A10" t="s">
        <v>124</v>
      </c>
      <c r="B10" s="22">
        <f>income_BNP_Paribas!C33/1000000000</f>
        <v>47.402999999999999</v>
      </c>
      <c r="C10" s="23">
        <f>B10*(1+Assumptions!C12)</f>
        <v>48.351059999999997</v>
      </c>
    </row>
    <row r="11" spans="1:3" x14ac:dyDescent="0.2">
      <c r="A11" t="s">
        <v>118</v>
      </c>
      <c r="B11" s="22">
        <f>income_BNP_Paribas!C26/1000000000</f>
        <v>16.187999999999999</v>
      </c>
      <c r="C11" s="23">
        <f>C9-C10</f>
        <v>9.3898280160000098</v>
      </c>
    </row>
    <row r="12" spans="1:3" x14ac:dyDescent="0.2">
      <c r="A12" t="s">
        <v>117</v>
      </c>
      <c r="B12" s="22">
        <f>income_BNP_Paribas!C25/1000000000</f>
        <v>4.0010000000000003</v>
      </c>
      <c r="C12" s="23">
        <f>C11*Assumptions!C14</f>
        <v>2.4883044242400025</v>
      </c>
    </row>
    <row r="13" spans="1:3" x14ac:dyDescent="0.2">
      <c r="A13" s="3" t="s">
        <v>112</v>
      </c>
      <c r="B13" s="24">
        <f>income_BNP_Paribas!C20/1000000000</f>
        <v>11.688000000000001</v>
      </c>
      <c r="C13" s="29">
        <f>C11-C12</f>
        <v>6.9015235917600073</v>
      </c>
    </row>
    <row r="15" spans="1:3" x14ac:dyDescent="0.2">
      <c r="A15" s="21" t="s">
        <v>185</v>
      </c>
    </row>
    <row r="16" spans="1:3" x14ac:dyDescent="0.2">
      <c r="A16" t="s">
        <v>33</v>
      </c>
      <c r="B16" s="22">
        <f>balance_BNP_Paribas!C25/1000000000</f>
        <v>2704.9079999999999</v>
      </c>
      <c r="C16" s="23">
        <f>C35</f>
        <v>2704.9079999999999</v>
      </c>
    </row>
    <row r="17" spans="1:3" x14ac:dyDescent="0.2">
      <c r="A17" t="s">
        <v>17</v>
      </c>
      <c r="B17" s="22">
        <f>balance_BNP_Paribas!C10/1000000000</f>
        <v>128.137</v>
      </c>
      <c r="C17" s="23">
        <f>B17+C13</f>
        <v>135.03852359176</v>
      </c>
    </row>
    <row r="19" spans="1:3" x14ac:dyDescent="0.2">
      <c r="A19" s="21" t="s">
        <v>186</v>
      </c>
    </row>
    <row r="20" spans="1:3" x14ac:dyDescent="0.2">
      <c r="A20" t="s">
        <v>187</v>
      </c>
      <c r="B20" s="14">
        <f>B7/B16</f>
        <v>7.2179904085462434E-3</v>
      </c>
      <c r="C20" s="14">
        <f>C7/C16</f>
        <v>3.8699904085462431E-3</v>
      </c>
    </row>
    <row r="21" spans="1:3" x14ac:dyDescent="0.2">
      <c r="A21" t="s">
        <v>188</v>
      </c>
      <c r="B21" s="25">
        <f>B12/B11</f>
        <v>0.24715838893007169</v>
      </c>
      <c r="C21" s="27">
        <f>Assumptions!C14</f>
        <v>0.26500000000000001</v>
      </c>
    </row>
    <row r="22" spans="1:3" x14ac:dyDescent="0.2">
      <c r="A22" t="s">
        <v>189</v>
      </c>
      <c r="B22" s="14">
        <f>B13/B17</f>
        <v>9.121487158275908E-2</v>
      </c>
      <c r="C22" s="14">
        <f>C13/((B17+C17)/2)</f>
        <v>5.2448065819872415E-2</v>
      </c>
    </row>
    <row r="23" spans="1:3" x14ac:dyDescent="0.2">
      <c r="A23" t="s">
        <v>190</v>
      </c>
      <c r="B23" s="25">
        <f>B10/B9</f>
        <v>0.71964475482010015</v>
      </c>
      <c r="C23" s="25">
        <f>C10/C9</f>
        <v>0.83737991675157319</v>
      </c>
    </row>
    <row r="25" spans="1:3" x14ac:dyDescent="0.2">
      <c r="A25" s="21" t="s">
        <v>191</v>
      </c>
    </row>
    <row r="26" spans="1:3" x14ac:dyDescent="0.2">
      <c r="A26" t="s">
        <v>199</v>
      </c>
      <c r="C26" s="26">
        <f>Assumptions!E6</f>
        <v>2.2499999999999999E-2</v>
      </c>
    </row>
    <row r="27" spans="1:3" x14ac:dyDescent="0.2">
      <c r="A27" t="s">
        <v>193</v>
      </c>
      <c r="C27" s="26">
        <f>Assumptions!F6</f>
        <v>3.15E-2</v>
      </c>
    </row>
    <row r="28" spans="1:3" x14ac:dyDescent="0.2">
      <c r="A28" t="s">
        <v>162</v>
      </c>
      <c r="C28" s="14">
        <f>C26-C27</f>
        <v>-9.0000000000000011E-3</v>
      </c>
    </row>
    <row r="29" spans="1:3" x14ac:dyDescent="0.2">
      <c r="A29" t="s">
        <v>167</v>
      </c>
      <c r="C29" s="27">
        <f>Assumptions!C10</f>
        <v>0.38</v>
      </c>
    </row>
    <row r="30" spans="1:3" x14ac:dyDescent="0.2">
      <c r="A30" t="s">
        <v>168</v>
      </c>
      <c r="C30" s="27">
        <f>Assumptions!C11</f>
        <v>0.6</v>
      </c>
    </row>
    <row r="31" spans="1:3" x14ac:dyDescent="0.2">
      <c r="A31" t="s">
        <v>194</v>
      </c>
      <c r="C31" s="14">
        <f>C28*(1-C29)*C30</f>
        <v>-3.3480000000000003E-3</v>
      </c>
    </row>
    <row r="32" spans="1:3" x14ac:dyDescent="0.2">
      <c r="A32" t="s">
        <v>195</v>
      </c>
      <c r="B32" s="14">
        <f>B20</f>
        <v>7.2179904085462434E-3</v>
      </c>
      <c r="C32" s="28">
        <f>B20+C31</f>
        <v>3.8699904085462431E-3</v>
      </c>
    </row>
    <row r="34" spans="1:3" x14ac:dyDescent="0.2">
      <c r="A34" s="21" t="s">
        <v>196</v>
      </c>
    </row>
    <row r="35" spans="1:3" x14ac:dyDescent="0.2">
      <c r="A35" t="s">
        <v>197</v>
      </c>
      <c r="C35" s="23">
        <f>B16</f>
        <v>2704.9079999999999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E95E-4C03-6546-B17A-1EF0970D13DC}">
  <dimension ref="A1:C35"/>
  <sheetViews>
    <sheetView workbookViewId="0">
      <selection activeCell="F22" sqref="F22"/>
    </sheetView>
  </sheetViews>
  <sheetFormatPr baseColWidth="10" defaultRowHeight="16" x14ac:dyDescent="0.2"/>
  <cols>
    <col min="1" max="1" width="40" customWidth="1"/>
    <col min="2" max="3" width="16.6640625" customWidth="1"/>
  </cols>
  <sheetData>
    <row r="1" spans="1:3" ht="19" x14ac:dyDescent="0.25">
      <c r="A1" s="5" t="s">
        <v>250</v>
      </c>
    </row>
    <row r="2" spans="1:3" x14ac:dyDescent="0.2">
      <c r="A2" s="8" t="s">
        <v>200</v>
      </c>
    </row>
    <row r="4" spans="1:3" x14ac:dyDescent="0.2">
      <c r="B4" s="20" t="s">
        <v>181</v>
      </c>
      <c r="C4" s="20" t="s">
        <v>182</v>
      </c>
    </row>
    <row r="6" spans="1:3" x14ac:dyDescent="0.2">
      <c r="A6" s="21" t="s">
        <v>183</v>
      </c>
    </row>
    <row r="7" spans="1:3" x14ac:dyDescent="0.2">
      <c r="A7" t="s">
        <v>100</v>
      </c>
      <c r="B7" s="22">
        <f>income_Deutsche_Bank!C7/1000000000</f>
        <v>13.064</v>
      </c>
      <c r="C7" s="23">
        <f>C32*C35</f>
        <v>7.121333732000001</v>
      </c>
    </row>
    <row r="8" spans="1:3" x14ac:dyDescent="0.2">
      <c r="A8" t="s">
        <v>184</v>
      </c>
      <c r="B8" s="23">
        <f>B9-B7</f>
        <v>16.983000000000001</v>
      </c>
      <c r="C8" s="23">
        <f>B8*(1+Assumptions!D13)</f>
        <v>17.322660000000003</v>
      </c>
    </row>
    <row r="9" spans="1:3" x14ac:dyDescent="0.2">
      <c r="A9" t="s">
        <v>89</v>
      </c>
      <c r="B9" s="22">
        <f>income_Deutsche_Bank!C36/1000000000</f>
        <v>30.047000000000001</v>
      </c>
      <c r="C9" s="23">
        <f>C7+C8</f>
        <v>24.443993732000003</v>
      </c>
    </row>
    <row r="10" spans="1:3" x14ac:dyDescent="0.2">
      <c r="A10" t="s">
        <v>201</v>
      </c>
      <c r="B10" s="22">
        <f>(income_Deutsche_Bank!C31+income_Deutsche_Bank!C40)/1000000000</f>
        <v>18.02</v>
      </c>
      <c r="C10" s="23">
        <f>B10*(1+Assumptions!D12)</f>
        <v>18.380400000000002</v>
      </c>
    </row>
    <row r="11" spans="1:3" x14ac:dyDescent="0.2">
      <c r="A11" t="s">
        <v>118</v>
      </c>
      <c r="B11" s="22">
        <f>income_Deutsche_Bank!C25/1000000000</f>
        <v>5.2910000000000004</v>
      </c>
      <c r="C11" s="23">
        <f>C9-C10</f>
        <v>6.0635937320000011</v>
      </c>
    </row>
    <row r="12" spans="1:3" x14ac:dyDescent="0.2">
      <c r="A12" t="s">
        <v>202</v>
      </c>
      <c r="B12" s="22">
        <f>income_Deutsche_Bank!C24/1000000000</f>
        <v>1.786</v>
      </c>
      <c r="C12" s="23">
        <f>C11*B21</f>
        <v>2.0467923654038938</v>
      </c>
    </row>
    <row r="13" spans="1:3" x14ac:dyDescent="0.2">
      <c r="A13" s="3" t="s">
        <v>112</v>
      </c>
      <c r="B13" s="24">
        <f>income_Deutsche_Bank!C20/1000000000</f>
        <v>3.3660000000000001</v>
      </c>
      <c r="C13" s="29">
        <f>C11-C12</f>
        <v>4.0168013665961073</v>
      </c>
    </row>
    <row r="15" spans="1:3" x14ac:dyDescent="0.2">
      <c r="A15" s="21" t="s">
        <v>185</v>
      </c>
    </row>
    <row r="16" spans="1:3" x14ac:dyDescent="0.2">
      <c r="A16" t="s">
        <v>33</v>
      </c>
      <c r="B16" s="22">
        <f>balance_Deutsche_Bank!C40/1000000000</f>
        <v>1387.1769999999999</v>
      </c>
      <c r="C16" s="23">
        <f>C35</f>
        <v>1387.1769999999999</v>
      </c>
    </row>
    <row r="17" spans="1:3" x14ac:dyDescent="0.2">
      <c r="A17" t="s">
        <v>17</v>
      </c>
      <c r="B17" s="22">
        <f>balance_Deutsche_Bank!C10/1000000000</f>
        <v>77.825999999999993</v>
      </c>
      <c r="C17" s="23">
        <f>B17+C13</f>
        <v>81.842801366596106</v>
      </c>
    </row>
    <row r="19" spans="1:3" x14ac:dyDescent="0.2">
      <c r="A19" s="21" t="s">
        <v>186</v>
      </c>
    </row>
    <row r="20" spans="1:3" x14ac:dyDescent="0.2">
      <c r="A20" t="s">
        <v>187</v>
      </c>
      <c r="B20" s="14">
        <f>B7/B16</f>
        <v>9.4176878653553231E-3</v>
      </c>
      <c r="C20" s="14">
        <f>C7/C16</f>
        <v>5.1336878653553235E-3</v>
      </c>
    </row>
    <row r="21" spans="1:3" x14ac:dyDescent="0.2">
      <c r="A21" t="s">
        <v>188</v>
      </c>
      <c r="B21" s="25">
        <f>B12/B11</f>
        <v>0.33755433755433756</v>
      </c>
      <c r="C21" s="27">
        <f>B21</f>
        <v>0.33755433755433756</v>
      </c>
    </row>
    <row r="22" spans="1:3" x14ac:dyDescent="0.2">
      <c r="A22" t="s">
        <v>189</v>
      </c>
      <c r="B22" s="14">
        <f>B13/B17</f>
        <v>4.3250327653997382E-2</v>
      </c>
      <c r="C22" s="14">
        <f>C13/((B17+C17)/2)</f>
        <v>5.0314166978351879E-2</v>
      </c>
    </row>
    <row r="23" spans="1:3" x14ac:dyDescent="0.2">
      <c r="A23" t="s">
        <v>190</v>
      </c>
      <c r="B23" s="25">
        <f>B10/B9</f>
        <v>0.59972709421905679</v>
      </c>
      <c r="C23" s="25">
        <f>C10/C9</f>
        <v>0.75193931898034905</v>
      </c>
    </row>
    <row r="25" spans="1:3" x14ac:dyDescent="0.2">
      <c r="A25" s="21" t="s">
        <v>191</v>
      </c>
    </row>
    <row r="26" spans="1:3" x14ac:dyDescent="0.2">
      <c r="A26" t="s">
        <v>199</v>
      </c>
      <c r="C26" s="26">
        <f>Assumptions!E6</f>
        <v>2.2499999999999999E-2</v>
      </c>
    </row>
    <row r="27" spans="1:3" x14ac:dyDescent="0.2">
      <c r="A27" t="s">
        <v>193</v>
      </c>
      <c r="C27" s="26">
        <f>Assumptions!F6</f>
        <v>3.15E-2</v>
      </c>
    </row>
    <row r="28" spans="1:3" x14ac:dyDescent="0.2">
      <c r="A28" t="s">
        <v>162</v>
      </c>
      <c r="C28" s="14">
        <f>C26-C27</f>
        <v>-9.0000000000000011E-3</v>
      </c>
    </row>
    <row r="29" spans="1:3" x14ac:dyDescent="0.2">
      <c r="A29" t="s">
        <v>167</v>
      </c>
      <c r="C29" s="27">
        <f>Assumptions!D10</f>
        <v>0.32</v>
      </c>
    </row>
    <row r="30" spans="1:3" x14ac:dyDescent="0.2">
      <c r="A30" t="s">
        <v>168</v>
      </c>
      <c r="C30" s="27">
        <f>Assumptions!D11</f>
        <v>0.7</v>
      </c>
    </row>
    <row r="31" spans="1:3" x14ac:dyDescent="0.2">
      <c r="A31" t="s">
        <v>194</v>
      </c>
      <c r="C31" s="14">
        <f>C28*(1-C29)*C30</f>
        <v>-4.2839999999999996E-3</v>
      </c>
    </row>
    <row r="32" spans="1:3" x14ac:dyDescent="0.2">
      <c r="A32" t="s">
        <v>195</v>
      </c>
      <c r="B32" s="14">
        <f>B20</f>
        <v>9.4176878653553231E-3</v>
      </c>
      <c r="C32" s="28">
        <f>B20+C31</f>
        <v>5.1336878653553235E-3</v>
      </c>
    </row>
    <row r="34" spans="1:3" x14ac:dyDescent="0.2">
      <c r="A34" s="21" t="s">
        <v>196</v>
      </c>
    </row>
    <row r="35" spans="1:3" x14ac:dyDescent="0.2">
      <c r="A35" t="s">
        <v>197</v>
      </c>
      <c r="C35" s="23">
        <f>B16</f>
        <v>1387.1769999999999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D3B0-EF04-F842-9AE4-A3A2C7B68A24}">
  <dimension ref="A1:H28"/>
  <sheetViews>
    <sheetView workbookViewId="0">
      <selection activeCell="J25" sqref="J25"/>
    </sheetView>
  </sheetViews>
  <sheetFormatPr baseColWidth="10" defaultRowHeight="16" x14ac:dyDescent="0.2"/>
  <cols>
    <col min="1" max="1" width="15" customWidth="1"/>
    <col min="2" max="8" width="13.33203125" customWidth="1"/>
  </cols>
  <sheetData>
    <row r="1" spans="1:8" ht="19" x14ac:dyDescent="0.25">
      <c r="A1" s="5" t="s">
        <v>251</v>
      </c>
    </row>
    <row r="2" spans="1:8" x14ac:dyDescent="0.2">
      <c r="A2" s="8" t="s">
        <v>203</v>
      </c>
    </row>
    <row r="4" spans="1:8" x14ac:dyDescent="0.2">
      <c r="A4" s="9" t="s">
        <v>204</v>
      </c>
    </row>
    <row r="5" spans="1:8" x14ac:dyDescent="0.2">
      <c r="A5" s="10" t="s">
        <v>205</v>
      </c>
      <c r="B5" s="30">
        <v>0.2</v>
      </c>
      <c r="C5" s="30">
        <v>0.3</v>
      </c>
      <c r="D5" s="30">
        <v>0.4</v>
      </c>
      <c r="E5" s="30">
        <v>0.5</v>
      </c>
      <c r="F5" s="30">
        <v>0.6</v>
      </c>
      <c r="G5" s="30">
        <v>0.7</v>
      </c>
      <c r="H5" s="30">
        <v>0.8</v>
      </c>
    </row>
    <row r="6" spans="1:8" x14ac:dyDescent="0.2">
      <c r="A6" s="31">
        <v>-5.0000000000000001E-3</v>
      </c>
      <c r="B6" s="32">
        <f>(((Calc_Barclays!$B$20+$A6*(1-B$5)*Assumptions!$B$11)*Calc_Barclays!$B$16+Calc_Barclays!$B$8*(1+Assumptions!$B$13)-Calc_Barclays!$B$10*(1+Assumptions!$B$12))*(1-Assumptions!$B$14))/(Calc_Barclays!$B$17+(((Calc_Barclays!$B$20+$A6*(1-B$5)*Assumptions!$B$11)*Calc_Barclays!$B$16+Calc_Barclays!$B$8*(1+Assumptions!$B$13)-Calc_Barclays!$B$10*(1+Assumptions!$B$12))*(1-Assumptions!$B$14))/2)</f>
        <v>6.5804215503543984E-2</v>
      </c>
      <c r="C6">
        <f>(((Calc_Barclays!$B$20+$A6*(1-C$5)*Assumptions!$B$11)*Calc_Barclays!$B$16+Calc_Barclays!$B$8*(1+Assumptions!$B$13)-Calc_Barclays!$B$10*(1+Assumptions!$B$12))*(1-Assumptions!$B$14))/(Calc_Barclays!$B$17+(((Calc_Barclays!$B$20+$A6*(1-C$5)*Assumptions!$B$11)*Calc_Barclays!$B$16+Calc_Barclays!$B$8*(1+Assumptions!$B$13)-Calc_Barclays!$B$10*(1+Assumptions!$B$12))*(1-Assumptions!$B$14))/2)</f>
        <v>7.0803099649969864E-2</v>
      </c>
      <c r="D6">
        <f>(((Calc_Barclays!$B$20+$A6*(1-D$5)*Assumptions!$B$11)*Calc_Barclays!$B$16+Calc_Barclays!$B$8*(1+Assumptions!$B$13)-Calc_Barclays!$B$10*(1+Assumptions!$B$12))*(1-Assumptions!$B$14))/(Calc_Barclays!$B$17+(((Calc_Barclays!$B$20+$A6*(1-D$5)*Assumptions!$B$11)*Calc_Barclays!$B$16+Calc_Barclays!$B$8*(1+Assumptions!$B$13)-Calc_Barclays!$B$10*(1+Assumptions!$B$12))*(1-Assumptions!$B$14))/2)</f>
        <v>7.5776211404264687E-2</v>
      </c>
      <c r="E6">
        <f>(((Calc_Barclays!$B$20+$A6*(1-E$5)*Assumptions!$B$11)*Calc_Barclays!$B$16+Calc_Barclays!$B$8*(1+Assumptions!$B$13)-Calc_Barclays!$B$10*(1+Assumptions!$B$12))*(1-Assumptions!$B$14))/(Calc_Barclays!$B$17+(((Calc_Barclays!$B$20+$A6*(1-E$5)*Assumptions!$B$11)*Calc_Barclays!$B$16+Calc_Barclays!$B$8*(1+Assumptions!$B$13)-Calc_Barclays!$B$10*(1+Assumptions!$B$12))*(1-Assumptions!$B$14))/2)</f>
        <v>8.0723749563305802E-2</v>
      </c>
      <c r="F6">
        <f>(((Calc_Barclays!$B$20+$A6*(1-F$5)*Assumptions!$B$11)*Calc_Barclays!$B$16+Calc_Barclays!$B$8*(1+Assumptions!$B$13)-Calc_Barclays!$B$10*(1+Assumptions!$B$12))*(1-Assumptions!$B$14))/(Calc_Barclays!$B$17+(((Calc_Barclays!$B$20+$A6*(1-F$5)*Assumptions!$B$11)*Calc_Barclays!$B$16+Calc_Barclays!$B$8*(1+Assumptions!$B$13)-Calc_Barclays!$B$10*(1+Assumptions!$B$12))*(1-Assumptions!$B$14))/2)</f>
        <v>8.5645910884638757E-2</v>
      </c>
      <c r="G6">
        <f>(((Calc_Barclays!$B$20+$A6*(1-G$5)*Assumptions!$B$11)*Calc_Barclays!$B$16+Calc_Barclays!$B$8*(1+Assumptions!$B$13)-Calc_Barclays!$B$10*(1+Assumptions!$B$12))*(1-Assumptions!$B$14))/(Calc_Barclays!$B$17+(((Calc_Barclays!$B$20+$A6*(1-G$5)*Assumptions!$B$11)*Calc_Barclays!$B$16+Calc_Barclays!$B$8*(1+Assumptions!$B$13)-Calc_Barclays!$B$10*(1+Assumptions!$B$12))*(1-Assumptions!$B$14))/2)</f>
        <v>9.054289011256049E-2</v>
      </c>
      <c r="H6">
        <f>(((Calc_Barclays!$B$20+$A6*(1-H$5)*Assumptions!$B$11)*Calc_Barclays!$B$16+Calc_Barclays!$B$8*(1+Assumptions!$B$13)-Calc_Barclays!$B$10*(1+Assumptions!$B$12))*(1-Assumptions!$B$14))/(Calc_Barclays!$B$17+(((Calc_Barclays!$B$20+$A6*(1-H$5)*Assumptions!$B$11)*Calc_Barclays!$B$16+Calc_Barclays!$B$8*(1+Assumptions!$B$13)-Calc_Barclays!$B$10*(1+Assumptions!$B$12))*(1-Assumptions!$B$14))/2)</f>
        <v>9.5414880003803812E-2</v>
      </c>
    </row>
    <row r="7" spans="1:8" x14ac:dyDescent="0.2">
      <c r="A7" s="31">
        <v>-2.5000000000000001E-3</v>
      </c>
      <c r="B7">
        <f>(((Calc_Barclays!$B$20+$A7*(1-B$5)*Assumptions!$B$11)*Calc_Barclays!$B$16+Calc_Barclays!$B$8*(1+Assumptions!$B$13)-Calc_Barclays!$B$10*(1+Assumptions!$B$12))*(1-Assumptions!$B$14))/(Calc_Barclays!$B$17+(((Calc_Barclays!$B$20+$A7*(1-B$5)*Assumptions!$B$11)*Calc_Barclays!$B$16+Calc_Barclays!$B$8*(1+Assumptions!$B$13)-Calc_Barclays!$B$10*(1+Assumptions!$B$12))*(1-Assumptions!$B$14))/2)</f>
        <v>8.5645910884638757E-2</v>
      </c>
      <c r="C7">
        <f>(((Calc_Barclays!$B$20+$A7*(1-C$5)*Assumptions!$B$11)*Calc_Barclays!$B$16+Calc_Barclays!$B$8*(1+Assumptions!$B$13)-Calc_Barclays!$B$10*(1+Assumptions!$B$12))*(1-Assumptions!$B$14))/(Calc_Barclays!$B$17+(((Calc_Barclays!$B$20+$A7*(1-C$5)*Assumptions!$B$11)*Calc_Barclays!$B$16+Calc_Barclays!$B$8*(1+Assumptions!$B$13)-Calc_Barclays!$B$10*(1+Assumptions!$B$12))*(1-Assumptions!$B$14))/2)</f>
        <v>8.8097536166695009E-2</v>
      </c>
      <c r="D7">
        <f>(((Calc_Barclays!$B$20+$A7*(1-D$5)*Assumptions!$B$11)*Calc_Barclays!$B$16+Calc_Barclays!$B$8*(1+Assumptions!$B$13)-Calc_Barclays!$B$10*(1+Assumptions!$B$12))*(1-Assumptions!$B$14))/(Calc_Barclays!$B$17+(((Calc_Barclays!$B$20+$A7*(1-D$5)*Assumptions!$B$11)*Calc_Barclays!$B$16+Calc_Barclays!$B$8*(1+Assumptions!$B$13)-Calc_Barclays!$B$10*(1+Assumptions!$B$12))*(1-Assumptions!$B$14))/2)</f>
        <v>9.054289011256049E-2</v>
      </c>
      <c r="E7">
        <f>(((Calc_Barclays!$B$20+$A7*(1-E$5)*Assumptions!$B$11)*Calc_Barclays!$B$16+Calc_Barclays!$B$8*(1+Assumptions!$B$13)-Calc_Barclays!$B$10*(1+Assumptions!$B$12))*(1-Assumptions!$B$14))/(Calc_Barclays!$B$17+(((Calc_Barclays!$B$20+$A7*(1-E$5)*Assumptions!$B$11)*Calc_Barclays!$B$16+Calc_Barclays!$B$8*(1+Assumptions!$B$13)-Calc_Barclays!$B$10*(1+Assumptions!$B$12))*(1-Assumptions!$B$14))/2)</f>
        <v>9.2981996754916196E-2</v>
      </c>
      <c r="F7">
        <f>(((Calc_Barclays!$B$20+$A7*(1-F$5)*Assumptions!$B$11)*Calc_Barclays!$B$16+Calc_Barclays!$B$8*(1+Assumptions!$B$13)-Calc_Barclays!$B$10*(1+Assumptions!$B$12))*(1-Assumptions!$B$14))/(Calc_Barclays!$B$17+(((Calc_Barclays!$B$20+$A7*(1-F$5)*Assumptions!$B$11)*Calc_Barclays!$B$16+Calc_Barclays!$B$8*(1+Assumptions!$B$13)-Calc_Barclays!$B$10*(1+Assumptions!$B$12))*(1-Assumptions!$B$14))/2)</f>
        <v>9.5414880003803812E-2</v>
      </c>
      <c r="G7">
        <f>(((Calc_Barclays!$B$20+$A7*(1-G$5)*Assumptions!$B$11)*Calc_Barclays!$B$16+Calc_Barclays!$B$8*(1+Assumptions!$B$13)-Calc_Barclays!$B$10*(1+Assumptions!$B$12))*(1-Assumptions!$B$14))/(Calc_Barclays!$B$17+(((Calc_Barclays!$B$20+$A7*(1-G$5)*Assumptions!$B$11)*Calc_Barclays!$B$16+Calc_Barclays!$B$8*(1+Assumptions!$B$13)-Calc_Barclays!$B$10*(1+Assumptions!$B$12))*(1-Assumptions!$B$14))/2)</f>
        <v>9.7841563647407453E-2</v>
      </c>
      <c r="H7">
        <f>(((Calc_Barclays!$B$20+$A7*(1-H$5)*Assumptions!$B$11)*Calc_Barclays!$B$16+Calc_Barclays!$B$8*(1+Assumptions!$B$13)-Calc_Barclays!$B$10*(1+Assumptions!$B$12))*(1-Assumptions!$B$14))/(Calc_Barclays!$B$17+(((Calc_Barclays!$B$20+$A7*(1-H$5)*Assumptions!$B$11)*Calc_Barclays!$B$16+Calc_Barclays!$B$8*(1+Assumptions!$B$13)-Calc_Barclays!$B$10*(1+Assumptions!$B$12))*(1-Assumptions!$B$14))/2)</f>
        <v>0.10026207135282872</v>
      </c>
    </row>
    <row r="8" spans="1:8" x14ac:dyDescent="0.2">
      <c r="A8" s="31">
        <v>0</v>
      </c>
      <c r="B8">
        <f>(((Calc_Barclays!$B$20+$A8*(1-B$5)*Assumptions!$B$11)*Calc_Barclays!$B$16+Calc_Barclays!$B$8*(1+Assumptions!$B$13)-Calc_Barclays!$B$10*(1+Assumptions!$B$12))*(1-Assumptions!$B$14))/(Calc_Barclays!$B$17+(((Calc_Barclays!$B$20+$A8*(1-B$5)*Assumptions!$B$11)*Calc_Barclays!$B$16+Calc_Barclays!$B$8*(1+Assumptions!$B$13)-Calc_Barclays!$B$10*(1+Assumptions!$B$12))*(1-Assumptions!$B$14))/2)</f>
        <v>0.10508465301672945</v>
      </c>
      <c r="C8">
        <f>(((Calc_Barclays!$B$20+$A8*(1-C$5)*Assumptions!$B$11)*Calc_Barclays!$B$16+Calc_Barclays!$B$8*(1+Assumptions!$B$13)-Calc_Barclays!$B$10*(1+Assumptions!$B$12))*(1-Assumptions!$B$14))/(Calc_Barclays!$B$17+(((Calc_Barclays!$B$20+$A8*(1-C$5)*Assumptions!$B$11)*Calc_Barclays!$B$16+Calc_Barclays!$B$8*(1+Assumptions!$B$13)-Calc_Barclays!$B$10*(1+Assumptions!$B$12))*(1-Assumptions!$B$14))/2)</f>
        <v>0.10508465301672945</v>
      </c>
      <c r="D8">
        <f>(((Calc_Barclays!$B$20+$A8*(1-D$5)*Assumptions!$B$11)*Calc_Barclays!$B$16+Calc_Barclays!$B$8*(1+Assumptions!$B$13)-Calc_Barclays!$B$10*(1+Assumptions!$B$12))*(1-Assumptions!$B$14))/(Calc_Barclays!$B$17+(((Calc_Barclays!$B$20+$A8*(1-D$5)*Assumptions!$B$11)*Calc_Barclays!$B$16+Calc_Barclays!$B$8*(1+Assumptions!$B$13)-Calc_Barclays!$B$10*(1+Assumptions!$B$12))*(1-Assumptions!$B$14))/2)</f>
        <v>0.10508465301672945</v>
      </c>
      <c r="E8">
        <f>(((Calc_Barclays!$B$20+$A8*(1-E$5)*Assumptions!$B$11)*Calc_Barclays!$B$16+Calc_Barclays!$B$8*(1+Assumptions!$B$13)-Calc_Barclays!$B$10*(1+Assumptions!$B$12))*(1-Assumptions!$B$14))/(Calc_Barclays!$B$17+(((Calc_Barclays!$B$20+$A8*(1-E$5)*Assumptions!$B$11)*Calc_Barclays!$B$16+Calc_Barclays!$B$8*(1+Assumptions!$B$13)-Calc_Barclays!$B$10*(1+Assumptions!$B$12))*(1-Assumptions!$B$14))/2)</f>
        <v>0.10508465301672945</v>
      </c>
      <c r="F8">
        <f>(((Calc_Barclays!$B$20+$A8*(1-F$5)*Assumptions!$B$11)*Calc_Barclays!$B$16+Calc_Barclays!$B$8*(1+Assumptions!$B$13)-Calc_Barclays!$B$10*(1+Assumptions!$B$12))*(1-Assumptions!$B$14))/(Calc_Barclays!$B$17+(((Calc_Barclays!$B$20+$A8*(1-F$5)*Assumptions!$B$11)*Calc_Barclays!$B$16+Calc_Barclays!$B$8*(1+Assumptions!$B$13)-Calc_Barclays!$B$10*(1+Assumptions!$B$12))*(1-Assumptions!$B$14))/2)</f>
        <v>0.10508465301672945</v>
      </c>
      <c r="G8">
        <f>(((Calc_Barclays!$B$20+$A8*(1-G$5)*Assumptions!$B$11)*Calc_Barclays!$B$16+Calc_Barclays!$B$8*(1+Assumptions!$B$13)-Calc_Barclays!$B$10*(1+Assumptions!$B$12))*(1-Assumptions!$B$14))/(Calc_Barclays!$B$17+(((Calc_Barclays!$B$20+$A8*(1-G$5)*Assumptions!$B$11)*Calc_Barclays!$B$16+Calc_Barclays!$B$8*(1+Assumptions!$B$13)-Calc_Barclays!$B$10*(1+Assumptions!$B$12))*(1-Assumptions!$B$14))/2)</f>
        <v>0.10508465301672945</v>
      </c>
      <c r="H8">
        <f>(((Calc_Barclays!$B$20+$A8*(1-H$5)*Assumptions!$B$11)*Calc_Barclays!$B$16+Calc_Barclays!$B$8*(1+Assumptions!$B$13)-Calc_Barclays!$B$10*(1+Assumptions!$B$12))*(1-Assumptions!$B$14))/(Calc_Barclays!$B$17+(((Calc_Barclays!$B$20+$A8*(1-H$5)*Assumptions!$B$11)*Calc_Barclays!$B$16+Calc_Barclays!$B$8*(1+Assumptions!$B$13)-Calc_Barclays!$B$10*(1+Assumptions!$B$12))*(1-Assumptions!$B$14))/2)</f>
        <v>0.10508465301672945</v>
      </c>
    </row>
    <row r="9" spans="1:8" x14ac:dyDescent="0.2">
      <c r="A9" s="31">
        <v>2.5000000000000001E-3</v>
      </c>
      <c r="B9">
        <f>(((Calc_Barclays!$B$20+$A9*(1-B$5)*Assumptions!$B$11)*Calc_Barclays!$B$16+Calc_Barclays!$B$8*(1+Assumptions!$B$13)-Calc_Barclays!$B$10*(1+Assumptions!$B$12))*(1-Assumptions!$B$14))/(Calc_Barclays!$B$17+(((Calc_Barclays!$B$20+$A9*(1-B$5)*Assumptions!$B$11)*Calc_Barclays!$B$16+Calc_Barclays!$B$8*(1+Assumptions!$B$13)-Calc_Barclays!$B$10*(1+Assumptions!$B$12))*(1-Assumptions!$B$14))/2)</f>
        <v>0.12413259351839512</v>
      </c>
      <c r="C9">
        <f>(((Calc_Barclays!$B$20+$A9*(1-C$5)*Assumptions!$B$11)*Calc_Barclays!$B$16+Calc_Barclays!$B$8*(1+Assumptions!$B$13)-Calc_Barclays!$B$10*(1+Assumptions!$B$12))*(1-Assumptions!$B$14))/(Calc_Barclays!$B$17+(((Calc_Barclays!$B$20+$A9*(1-C$5)*Assumptions!$B$11)*Calc_Barclays!$B$16+Calc_Barclays!$B$8*(1+Assumptions!$B$13)-Calc_Barclays!$B$10*(1+Assumptions!$B$12))*(1-Assumptions!$B$14))/2)</f>
        <v>0.12177256959966053</v>
      </c>
      <c r="D9">
        <f>(((Calc_Barclays!$B$20+$A9*(1-D$5)*Assumptions!$B$11)*Calc_Barclays!$B$16+Calc_Barclays!$B$8*(1+Assumptions!$B$13)-Calc_Barclays!$B$10*(1+Assumptions!$B$12))*(1-Assumptions!$B$14))/(Calc_Barclays!$B$17+(((Calc_Barclays!$B$20+$A9*(1-D$5)*Assumptions!$B$11)*Calc_Barclays!$B$16+Calc_Barclays!$B$8*(1+Assumptions!$B$13)-Calc_Barclays!$B$10*(1+Assumptions!$B$12))*(1-Assumptions!$B$14))/2)</f>
        <v>0.11940659992063823</v>
      </c>
      <c r="E9">
        <f>(((Calc_Barclays!$B$20+$A9*(1-E$5)*Assumptions!$B$11)*Calc_Barclays!$B$16+Calc_Barclays!$B$8*(1+Assumptions!$B$13)-Calc_Barclays!$B$10*(1+Assumptions!$B$12))*(1-Assumptions!$B$14))/(Calc_Barclays!$B$17+(((Calc_Barclays!$B$20+$A9*(1-E$5)*Assumptions!$B$11)*Calc_Barclays!$B$16+Calc_Barclays!$B$8*(1+Assumptions!$B$13)-Calc_Barclays!$B$10*(1+Assumptions!$B$12))*(1-Assumptions!$B$14))/2)</f>
        <v>0.11703466198368292</v>
      </c>
      <c r="F9">
        <f>(((Calc_Barclays!$B$20+$A9*(1-F$5)*Assumptions!$B$11)*Calc_Barclays!$B$16+Calc_Barclays!$B$8*(1+Assumptions!$B$13)-Calc_Barclays!$B$10*(1+Assumptions!$B$12))*(1-Assumptions!$B$14))/(Calc_Barclays!$B$17+(((Calc_Barclays!$B$20+$A9*(1-F$5)*Assumptions!$B$11)*Calc_Barclays!$B$16+Calc_Barclays!$B$8*(1+Assumptions!$B$13)-Calc_Barclays!$B$10*(1+Assumptions!$B$12))*(1-Assumptions!$B$14))/2)</f>
        <v>0.11465673317750356</v>
      </c>
      <c r="G9">
        <f>(((Calc_Barclays!$B$20+$A9*(1-G$5)*Assumptions!$B$11)*Calc_Barclays!$B$16+Calc_Barclays!$B$8*(1+Assumptions!$B$13)-Calc_Barclays!$B$10*(1+Assumptions!$B$12))*(1-Assumptions!$B$14))/(Calc_Barclays!$B$17+(((Calc_Barclays!$B$20+$A9*(1-G$5)*Assumptions!$B$11)*Calc_Barclays!$B$16+Calc_Barclays!$B$8*(1+Assumptions!$B$13)-Calc_Barclays!$B$10*(1+Assumptions!$B$12))*(1-Assumptions!$B$14))/2)</f>
        <v>0.11227279077644474</v>
      </c>
      <c r="H9">
        <f>(((Calc_Barclays!$B$20+$A9*(1-H$5)*Assumptions!$B$11)*Calc_Barclays!$B$16+Calc_Barclays!$B$8*(1+Assumptions!$B$13)-Calc_Barclays!$B$10*(1+Assumptions!$B$12))*(1-Assumptions!$B$14))/(Calc_Barclays!$B$17+(((Calc_Barclays!$B$20+$A9*(1-H$5)*Assumptions!$B$11)*Calc_Barclays!$B$16+Calc_Barclays!$B$8*(1+Assumptions!$B$13)-Calc_Barclays!$B$10*(1+Assumptions!$B$12))*(1-Assumptions!$B$14))/2)</f>
        <v>0.10988281193976261</v>
      </c>
    </row>
    <row r="10" spans="1:8" x14ac:dyDescent="0.2">
      <c r="A10" s="31">
        <v>5.0000000000000001E-3</v>
      </c>
      <c r="B10">
        <f>(((Calc_Barclays!$B$20+$A10*(1-B$5)*Assumptions!$B$11)*Calc_Barclays!$B$16+Calc_Barclays!$B$8*(1+Assumptions!$B$13)-Calc_Barclays!$B$10*(1+Assumptions!$B$12))*(1-Assumptions!$B$14))/(Calc_Barclays!$B$17+(((Calc_Barclays!$B$20+$A10*(1-B$5)*Assumptions!$B$11)*Calc_Barclays!$B$16+Calc_Barclays!$B$8*(1+Assumptions!$B$13)-Calc_Barclays!$B$10*(1+Assumptions!$B$12))*(1-Assumptions!$B$14))/2)</f>
        <v>0.14280140027206523</v>
      </c>
      <c r="C10">
        <f>(((Calc_Barclays!$B$20+$A10*(1-C$5)*Assumptions!$B$11)*Calc_Barclays!$B$16+Calc_Barclays!$B$8*(1+Assumptions!$B$13)-Calc_Barclays!$B$10*(1+Assumptions!$B$12))*(1-Assumptions!$B$14))/(Calc_Barclays!$B$17+(((Calc_Barclays!$B$20+$A10*(1-C$5)*Assumptions!$B$11)*Calc_Barclays!$B$16+Calc_Barclays!$B$8*(1+Assumptions!$B$13)-Calc_Barclays!$B$10*(1+Assumptions!$B$12))*(1-Assumptions!$B$14))/2)</f>
        <v>0.13816912179209628</v>
      </c>
      <c r="D10">
        <f>(((Calc_Barclays!$B$20+$A10*(1-D$5)*Assumptions!$B$11)*Calc_Barclays!$B$16+Calc_Barclays!$B$8*(1+Assumptions!$B$13)-Calc_Barclays!$B$10*(1+Assumptions!$B$12))*(1-Assumptions!$B$14))/(Calc_Barclays!$B$17+(((Calc_Barclays!$B$20+$A10*(1-D$5)*Assumptions!$B$11)*Calc_Barclays!$B$16+Calc_Barclays!$B$8*(1+Assumptions!$B$13)-Calc_Barclays!$B$10*(1+Assumptions!$B$12))*(1-Assumptions!$B$14))/2)</f>
        <v>0.13351367760553989</v>
      </c>
      <c r="E10">
        <f>(((Calc_Barclays!$B$20+$A10*(1-E$5)*Assumptions!$B$11)*Calc_Barclays!$B$16+Calc_Barclays!$B$8*(1+Assumptions!$B$13)-Calc_Barclays!$B$10*(1+Assumptions!$B$12))*(1-Assumptions!$B$14))/(Calc_Barclays!$B$17+(((Calc_Barclays!$B$20+$A10*(1-E$5)*Assumptions!$B$11)*Calc_Barclays!$B$16+Calc_Barclays!$B$8*(1+Assumptions!$B$13)-Calc_Barclays!$B$10*(1+Assumptions!$B$12))*(1-Assumptions!$B$14))/2)</f>
        <v>0.128834893501626</v>
      </c>
      <c r="F10">
        <f>(((Calc_Barclays!$B$20+$A10*(1-F$5)*Assumptions!$B$11)*Calc_Barclays!$B$16+Calc_Barclays!$B$8*(1+Assumptions!$B$13)-Calc_Barclays!$B$10*(1+Assumptions!$B$12))*(1-Assumptions!$B$14))/(Calc_Barclays!$B$17+(((Calc_Barclays!$B$20+$A10*(1-F$5)*Assumptions!$B$11)*Calc_Barclays!$B$16+Calc_Barclays!$B$8*(1+Assumptions!$B$13)-Calc_Barclays!$B$10*(1+Assumptions!$B$12))*(1-Assumptions!$B$14))/2)</f>
        <v>0.12413259351839512</v>
      </c>
      <c r="G10">
        <f>(((Calc_Barclays!$B$20+$A10*(1-G$5)*Assumptions!$B$11)*Calc_Barclays!$B$16+Calc_Barclays!$B$8*(1+Assumptions!$B$13)-Calc_Barclays!$B$10*(1+Assumptions!$B$12))*(1-Assumptions!$B$14))/(Calc_Barclays!$B$17+(((Calc_Barclays!$B$20+$A10*(1-G$5)*Assumptions!$B$11)*Calc_Barclays!$B$16+Calc_Barclays!$B$8*(1+Assumptions!$B$13)-Calc_Barclays!$B$10*(1+Assumptions!$B$12))*(1-Assumptions!$B$14))/2)</f>
        <v>0.11940659992063823</v>
      </c>
      <c r="H10">
        <f>(((Calc_Barclays!$B$20+$A10*(1-H$5)*Assumptions!$B$11)*Calc_Barclays!$B$16+Calc_Barclays!$B$8*(1+Assumptions!$B$13)-Calc_Barclays!$B$10*(1+Assumptions!$B$12))*(1-Assumptions!$B$14))/(Calc_Barclays!$B$17+(((Calc_Barclays!$B$20+$A10*(1-H$5)*Assumptions!$B$11)*Calc_Barclays!$B$16+Calc_Barclays!$B$8*(1+Assumptions!$B$13)-Calc_Barclays!$B$10*(1+Assumptions!$B$12))*(1-Assumptions!$B$14))/2)</f>
        <v>0.11465673317750356</v>
      </c>
    </row>
    <row r="13" spans="1:8" x14ac:dyDescent="0.2">
      <c r="A13" s="9" t="s">
        <v>206</v>
      </c>
    </row>
    <row r="14" spans="1:8" x14ac:dyDescent="0.2">
      <c r="A14" s="10" t="s">
        <v>205</v>
      </c>
      <c r="B14" s="30">
        <v>0.2</v>
      </c>
      <c r="C14" s="30">
        <v>0.3</v>
      </c>
      <c r="D14" s="30">
        <v>0.4</v>
      </c>
      <c r="E14" s="30">
        <v>0.5</v>
      </c>
      <c r="F14" s="30">
        <v>0.6</v>
      </c>
      <c r="G14" s="30">
        <v>0.7</v>
      </c>
      <c r="H14" s="30">
        <v>0.8</v>
      </c>
    </row>
    <row r="15" spans="1:8" x14ac:dyDescent="0.2">
      <c r="A15" s="31">
        <v>-5.0000000000000001E-3</v>
      </c>
      <c r="B15" s="32">
        <f>(((Calc_BNP!$B$20+$A15*(1-B$14)*Assumptions!$C$11)*Calc_BNP!$B$16+Calc_BNP!$B$8*(1+Assumptions!$C$13)-Calc_BNP!$B$10*(1+Assumptions!$C$12))*(1-Assumptions!$C$14))/(Calc_BNP!$B$17+(((Calc_BNP!$B$20+$A15*(1-B$14)*Assumptions!$C$11)*Calc_BNP!$B$16+Calc_BNP!$B$8*(1+Assumptions!$C$13)-Calc_BNP!$B$10*(1+Assumptions!$C$12))*(1-Assumptions!$C$14))/2)</f>
        <v>6.6296243275154654E-2</v>
      </c>
      <c r="C15">
        <f>(((Calc_BNP!$B$20+$A15*(1-C$14)*Assumptions!$C$11)*Calc_BNP!$B$16+Calc_BNP!$B$8*(1+Assumptions!$C$13)-Calc_BNP!$B$10*(1+Assumptions!$C$12))*(1-Assumptions!$C$14))/(Calc_BNP!$B$17+(((Calc_BNP!$B$20+$A15*(1-C$14)*Assumptions!$C$11)*Calc_BNP!$B$16+Calc_BNP!$B$8*(1+Assumptions!$C$13)-Calc_BNP!$B$10*(1+Assumptions!$C$12))*(1-Assumptions!$C$14))/2)</f>
        <v>7.063764815113438E-2</v>
      </c>
      <c r="D15">
        <f>(((Calc_BNP!$B$20+$A15*(1-D$14)*Assumptions!$C$11)*Calc_BNP!$B$16+Calc_BNP!$B$8*(1+Assumptions!$C$13)-Calc_BNP!$B$10*(1+Assumptions!$C$12))*(1-Assumptions!$C$14))/(Calc_BNP!$B$17+(((Calc_BNP!$B$20+$A15*(1-D$14)*Assumptions!$C$11)*Calc_BNP!$B$16+Calc_BNP!$B$8*(1+Assumptions!$C$13)-Calc_BNP!$B$10*(1+Assumptions!$C$12))*(1-Assumptions!$C$14))/2)</f>
        <v>7.495960271019618E-2</v>
      </c>
      <c r="E15">
        <f>(((Calc_BNP!$B$20+$A15*(1-E$14)*Assumptions!$C$11)*Calc_BNP!$B$16+Calc_BNP!$B$8*(1+Assumptions!$C$13)-Calc_BNP!$B$10*(1+Assumptions!$C$12))*(1-Assumptions!$C$14))/(Calc_BNP!$B$17+(((Calc_BNP!$B$20+$A15*(1-E$14)*Assumptions!$C$11)*Calc_BNP!$B$16+Calc_BNP!$B$8*(1+Assumptions!$C$13)-Calc_BNP!$B$10*(1+Assumptions!$C$12))*(1-Assumptions!$C$14))/2)</f>
        <v>7.9262237371849009E-2</v>
      </c>
      <c r="F15">
        <f>(((Calc_BNP!$B$20+$A15*(1-F$14)*Assumptions!$C$11)*Calc_BNP!$B$16+Calc_BNP!$B$8*(1+Assumptions!$C$13)-Calc_BNP!$B$10*(1+Assumptions!$C$12))*(1-Assumptions!$C$14))/(Calc_BNP!$B$17+(((Calc_BNP!$B$20+$A15*(1-F$14)*Assumptions!$C$11)*Calc_BNP!$B$16+Calc_BNP!$B$8*(1+Assumptions!$C$13)-Calc_BNP!$B$10*(1+Assumptions!$C$12))*(1-Assumptions!$C$14))/2)</f>
        <v>8.3545681392205765E-2</v>
      </c>
      <c r="G15">
        <f>(((Calc_BNP!$B$20+$A15*(1-G$14)*Assumptions!$C$11)*Calc_BNP!$B$16+Calc_BNP!$B$8*(1+Assumptions!$C$13)-Calc_BNP!$B$10*(1+Assumptions!$C$12))*(1-Assumptions!$C$14))/(Calc_BNP!$B$17+(((Calc_BNP!$B$20+$A15*(1-G$14)*Assumptions!$C$11)*Calc_BNP!$B$16+Calc_BNP!$B$8*(1+Assumptions!$C$13)-Calc_BNP!$B$10*(1+Assumptions!$C$12))*(1-Assumptions!$C$14))/2)</f>
        <v>8.78100628769269E-2</v>
      </c>
      <c r="H15">
        <f>(((Calc_BNP!$B$20+$A15*(1-H$14)*Assumptions!$C$11)*Calc_BNP!$B$16+Calc_BNP!$B$8*(1+Assumptions!$C$13)-Calc_BNP!$B$10*(1+Assumptions!$C$12))*(1-Assumptions!$C$14))/(Calc_BNP!$B$17+(((Calc_BNP!$B$20+$A15*(1-H$14)*Assumptions!$C$11)*Calc_BNP!$B$16+Calc_BNP!$B$8*(1+Assumptions!$C$13)-Calc_BNP!$B$10*(1+Assumptions!$C$12))*(1-Assumptions!$C$14))/2)</f>
        <v>9.2055508793991547E-2</v>
      </c>
    </row>
    <row r="16" spans="1:8" x14ac:dyDescent="0.2">
      <c r="A16" s="31">
        <v>-2.5000000000000001E-3</v>
      </c>
      <c r="B16">
        <f>(((Calc_BNP!$B$20+$A16*(1-B$14)*Assumptions!$C$11)*Calc_BNP!$B$16+Calc_BNP!$B$8*(1+Assumptions!$C$13)-Calc_BNP!$B$10*(1+Assumptions!$C$12))*(1-Assumptions!$C$14))/(Calc_BNP!$B$17+(((Calc_BNP!$B$20+$A16*(1-B$14)*Assumptions!$C$11)*Calc_BNP!$B$16+Calc_BNP!$B$8*(1+Assumptions!$C$13)-Calc_BNP!$B$10*(1+Assumptions!$C$12))*(1-Assumptions!$C$14))/2)</f>
        <v>8.3545681392205765E-2</v>
      </c>
      <c r="C16">
        <f>(((Calc_BNP!$B$20+$A16*(1-C$14)*Assumptions!$C$11)*Calc_BNP!$B$16+Calc_BNP!$B$8*(1+Assumptions!$C$13)-Calc_BNP!$B$10*(1+Assumptions!$C$12))*(1-Assumptions!$C$14))/(Calc_BNP!$B$17+(((Calc_BNP!$B$20+$A16*(1-C$14)*Assumptions!$C$11)*Calc_BNP!$B$16+Calc_BNP!$B$8*(1+Assumptions!$C$13)-Calc_BNP!$B$10*(1+Assumptions!$C$12))*(1-Assumptions!$C$14))/2)</f>
        <v>8.5680246989506145E-2</v>
      </c>
      <c r="D16">
        <f>(((Calc_BNP!$B$20+$A16*(1-D$14)*Assumptions!$C$11)*Calc_BNP!$B$16+Calc_BNP!$B$8*(1+Assumptions!$C$13)-Calc_BNP!$B$10*(1+Assumptions!$C$12))*(1-Assumptions!$C$14))/(Calc_BNP!$B$17+(((Calc_BNP!$B$20+$A16*(1-D$14)*Assumptions!$C$11)*Calc_BNP!$B$16+Calc_BNP!$B$8*(1+Assumptions!$C$13)-Calc_BNP!$B$10*(1+Assumptions!$C$12))*(1-Assumptions!$C$14))/2)</f>
        <v>8.78100628769269E-2</v>
      </c>
      <c r="E16">
        <f>(((Calc_BNP!$B$20+$A16*(1-E$14)*Assumptions!$C$11)*Calc_BNP!$B$16+Calc_BNP!$B$8*(1+Assumptions!$C$13)-Calc_BNP!$B$10*(1+Assumptions!$C$12))*(1-Assumptions!$C$14))/(Calc_BNP!$B$17+(((Calc_BNP!$B$20+$A16*(1-E$14)*Assumptions!$C$11)*Calc_BNP!$B$16+Calc_BNP!$B$8*(1+Assumptions!$C$13)-Calc_BNP!$B$10*(1+Assumptions!$C$12))*(1-Assumptions!$C$14))/2)</f>
        <v>8.9935144890012503E-2</v>
      </c>
      <c r="F16">
        <f>(((Calc_BNP!$B$20+$A16*(1-F$14)*Assumptions!$C$11)*Calc_BNP!$B$16+Calc_BNP!$B$8*(1+Assumptions!$C$13)-Calc_BNP!$B$10*(1+Assumptions!$C$12))*(1-Assumptions!$C$14))/(Calc_BNP!$B$17+(((Calc_BNP!$B$20+$A16*(1-F$14)*Assumptions!$C$11)*Calc_BNP!$B$16+Calc_BNP!$B$8*(1+Assumptions!$C$13)-Calc_BNP!$B$10*(1+Assumptions!$C$12))*(1-Assumptions!$C$14))/2)</f>
        <v>9.2055508793991547E-2</v>
      </c>
      <c r="G16">
        <f>(((Calc_BNP!$B$20+$A16*(1-G$14)*Assumptions!$C$11)*Calc_BNP!$B$16+Calc_BNP!$B$8*(1+Assumptions!$C$13)-Calc_BNP!$B$10*(1+Assumptions!$C$12))*(1-Assumptions!$C$14))/(Calc_BNP!$B$17+(((Calc_BNP!$B$20+$A16*(1-G$14)*Assumptions!$C$11)*Calc_BNP!$B$16+Calc_BNP!$B$8*(1+Assumptions!$C$13)-Calc_BNP!$B$10*(1+Assumptions!$C$12))*(1-Assumptions!$C$14))/2)</f>
        <v>9.4171170284166175E-2</v>
      </c>
      <c r="H16">
        <f>(((Calc_BNP!$B$20+$A16*(1-H$14)*Assumptions!$C$11)*Calc_BNP!$B$16+Calc_BNP!$B$8*(1+Assumptions!$C$13)-Calc_BNP!$B$10*(1+Assumptions!$C$12))*(1-Assumptions!$C$14))/(Calc_BNP!$B$17+(((Calc_BNP!$B$20+$A16*(1-H$14)*Assumptions!$C$11)*Calc_BNP!$B$16+Calc_BNP!$B$8*(1+Assumptions!$C$13)-Calc_BNP!$B$10*(1+Assumptions!$C$12))*(1-Assumptions!$C$14))/2)</f>
        <v>9.6282144986299389E-2</v>
      </c>
    </row>
    <row r="17" spans="1:8" x14ac:dyDescent="0.2">
      <c r="A17" s="31">
        <v>0</v>
      </c>
      <c r="B17">
        <f>(((Calc_BNP!$B$20+$A17*(1-B$14)*Assumptions!$C$11)*Calc_BNP!$B$16+Calc_BNP!$B$8*(1+Assumptions!$C$13)-Calc_BNP!$B$10*(1+Assumptions!$C$12))*(1-Assumptions!$C$14))/(Calc_BNP!$B$17+(((Calc_BNP!$B$20+$A17*(1-B$14)*Assumptions!$C$11)*Calc_BNP!$B$16+Calc_BNP!$B$8*(1+Assumptions!$C$13)-Calc_BNP!$B$10*(1+Assumptions!$C$12))*(1-Assumptions!$C$14))/2)</f>
        <v>0.10049009618410409</v>
      </c>
      <c r="C17">
        <f>(((Calc_BNP!$B$20+$A17*(1-C$14)*Assumptions!$C$11)*Calc_BNP!$B$16+Calc_BNP!$B$8*(1+Assumptions!$C$13)-Calc_BNP!$B$10*(1+Assumptions!$C$12))*(1-Assumptions!$C$14))/(Calc_BNP!$B$17+(((Calc_BNP!$B$20+$A17*(1-C$14)*Assumptions!$C$11)*Calc_BNP!$B$16+Calc_BNP!$B$8*(1+Assumptions!$C$13)-Calc_BNP!$B$10*(1+Assumptions!$C$12))*(1-Assumptions!$C$14))/2)</f>
        <v>0.10049009618410409</v>
      </c>
      <c r="D17">
        <f>(((Calc_BNP!$B$20+$A17*(1-D$14)*Assumptions!$C$11)*Calc_BNP!$B$16+Calc_BNP!$B$8*(1+Assumptions!$C$13)-Calc_BNP!$B$10*(1+Assumptions!$C$12))*(1-Assumptions!$C$14))/(Calc_BNP!$B$17+(((Calc_BNP!$B$20+$A17*(1-D$14)*Assumptions!$C$11)*Calc_BNP!$B$16+Calc_BNP!$B$8*(1+Assumptions!$C$13)-Calc_BNP!$B$10*(1+Assumptions!$C$12))*(1-Assumptions!$C$14))/2)</f>
        <v>0.10049009618410409</v>
      </c>
      <c r="E17">
        <f>(((Calc_BNP!$B$20+$A17*(1-E$14)*Assumptions!$C$11)*Calc_BNP!$B$16+Calc_BNP!$B$8*(1+Assumptions!$C$13)-Calc_BNP!$B$10*(1+Assumptions!$C$12))*(1-Assumptions!$C$14))/(Calc_BNP!$B$17+(((Calc_BNP!$B$20+$A17*(1-E$14)*Assumptions!$C$11)*Calc_BNP!$B$16+Calc_BNP!$B$8*(1+Assumptions!$C$13)-Calc_BNP!$B$10*(1+Assumptions!$C$12))*(1-Assumptions!$C$14))/2)</f>
        <v>0.10049009618410409</v>
      </c>
      <c r="F17">
        <f>(((Calc_BNP!$B$20+$A17*(1-F$14)*Assumptions!$C$11)*Calc_BNP!$B$16+Calc_BNP!$B$8*(1+Assumptions!$C$13)-Calc_BNP!$B$10*(1+Assumptions!$C$12))*(1-Assumptions!$C$14))/(Calc_BNP!$B$17+(((Calc_BNP!$B$20+$A17*(1-F$14)*Assumptions!$C$11)*Calc_BNP!$B$16+Calc_BNP!$B$8*(1+Assumptions!$C$13)-Calc_BNP!$B$10*(1+Assumptions!$C$12))*(1-Assumptions!$C$14))/2)</f>
        <v>0.10049009618410409</v>
      </c>
      <c r="G17">
        <f>(((Calc_BNP!$B$20+$A17*(1-G$14)*Assumptions!$C$11)*Calc_BNP!$B$16+Calc_BNP!$B$8*(1+Assumptions!$C$13)-Calc_BNP!$B$10*(1+Assumptions!$C$12))*(1-Assumptions!$C$14))/(Calc_BNP!$B$17+(((Calc_BNP!$B$20+$A17*(1-G$14)*Assumptions!$C$11)*Calc_BNP!$B$16+Calc_BNP!$B$8*(1+Assumptions!$C$13)-Calc_BNP!$B$10*(1+Assumptions!$C$12))*(1-Assumptions!$C$14))/2)</f>
        <v>0.10049009618410409</v>
      </c>
      <c r="H17">
        <f>(((Calc_BNP!$B$20+$A17*(1-H$14)*Assumptions!$C$11)*Calc_BNP!$B$16+Calc_BNP!$B$8*(1+Assumptions!$C$13)-Calc_BNP!$B$10*(1+Assumptions!$C$12))*(1-Assumptions!$C$14))/(Calc_BNP!$B$17+(((Calc_BNP!$B$20+$A17*(1-H$14)*Assumptions!$C$11)*Calc_BNP!$B$16+Calc_BNP!$B$8*(1+Assumptions!$C$13)-Calc_BNP!$B$10*(1+Assumptions!$C$12))*(1-Assumptions!$C$14))/2)</f>
        <v>0.10049009618410409</v>
      </c>
    </row>
    <row r="18" spans="1:8" x14ac:dyDescent="0.2">
      <c r="A18" s="31">
        <v>2.5000000000000001E-3</v>
      </c>
      <c r="B18">
        <f>(((Calc_BNP!$B$20+$A18*(1-B$14)*Assumptions!$C$11)*Calc_BNP!$B$16+Calc_BNP!$B$8*(1+Assumptions!$C$13)-Calc_BNP!$B$10*(1+Assumptions!$C$12))*(1-Assumptions!$C$14))/(Calc_BNP!$B$17+(((Calc_BNP!$B$20+$A18*(1-B$14)*Assumptions!$C$11)*Calc_BNP!$B$16+Calc_BNP!$B$8*(1+Assumptions!$C$13)-Calc_BNP!$B$10*(1+Assumptions!$C$12))*(1-Assumptions!$C$14))/2)</f>
        <v>0.11713750737536911</v>
      </c>
      <c r="C18">
        <f>(((Calc_BNP!$B$20+$A18*(1-C$14)*Assumptions!$C$11)*Calc_BNP!$B$16+Calc_BNP!$B$8*(1+Assumptions!$C$13)-Calc_BNP!$B$10*(1+Assumptions!$C$12))*(1-Assumptions!$C$14))/(Calc_BNP!$B$17+(((Calc_BNP!$B$20+$A18*(1-C$14)*Assumptions!$C$11)*Calc_BNP!$B$16+Calc_BNP!$B$8*(1+Assumptions!$C$13)-Calc_BNP!$B$10*(1+Assumptions!$C$12))*(1-Assumptions!$C$14))/2)</f>
        <v>0.11507255616346637</v>
      </c>
      <c r="D18">
        <f>(((Calc_BNP!$B$20+$A18*(1-D$14)*Assumptions!$C$11)*Calc_BNP!$B$16+Calc_BNP!$B$8*(1+Assumptions!$C$13)-Calc_BNP!$B$10*(1+Assumptions!$C$12))*(1-Assumptions!$C$14))/(Calc_BNP!$B$17+(((Calc_BNP!$B$20+$A18*(1-D$14)*Assumptions!$C$11)*Calc_BNP!$B$16+Calc_BNP!$B$8*(1+Assumptions!$C$13)-Calc_BNP!$B$10*(1+Assumptions!$C$12))*(1-Assumptions!$C$14))/2)</f>
        <v>0.11300307067989046</v>
      </c>
      <c r="E18">
        <f>(((Calc_BNP!$B$20+$A18*(1-E$14)*Assumptions!$C$11)*Calc_BNP!$B$16+Calc_BNP!$B$8*(1+Assumptions!$C$13)-Calc_BNP!$B$10*(1+Assumptions!$C$12))*(1-Assumptions!$C$14))/(Calc_BNP!$B$17+(((Calc_BNP!$B$20+$A18*(1-E$14)*Assumptions!$C$11)*Calc_BNP!$B$16+Calc_BNP!$B$8*(1+Assumptions!$C$13)-Calc_BNP!$B$10*(1+Assumptions!$C$12))*(1-Assumptions!$C$14))/2)</f>
        <v>0.11092903597352506</v>
      </c>
      <c r="F18">
        <f>(((Calc_BNP!$B$20+$A18*(1-F$14)*Assumptions!$C$11)*Calc_BNP!$B$16+Calc_BNP!$B$8*(1+Assumptions!$C$13)-Calc_BNP!$B$10*(1+Assumptions!$C$12))*(1-Assumptions!$C$14))/(Calc_BNP!$B$17+(((Calc_BNP!$B$20+$A18*(1-F$14)*Assumptions!$C$11)*Calc_BNP!$B$16+Calc_BNP!$B$8*(1+Assumptions!$C$13)-Calc_BNP!$B$10*(1+Assumptions!$C$12))*(1-Assumptions!$C$14))/2)</f>
        <v>0.10885043702744941</v>
      </c>
      <c r="G18">
        <f>(((Calc_BNP!$B$20+$A18*(1-G$14)*Assumptions!$C$11)*Calc_BNP!$B$16+Calc_BNP!$B$8*(1+Assumptions!$C$13)-Calc_BNP!$B$10*(1+Assumptions!$C$12))*(1-Assumptions!$C$14))/(Calc_BNP!$B$17+(((Calc_BNP!$B$20+$A18*(1-G$14)*Assumptions!$C$11)*Calc_BNP!$B$16+Calc_BNP!$B$8*(1+Assumptions!$C$13)-Calc_BNP!$B$10*(1+Assumptions!$C$12))*(1-Assumptions!$C$14))/2)</f>
        <v>0.10676725875857561</v>
      </c>
      <c r="H18">
        <f>(((Calc_BNP!$B$20+$A18*(1-H$14)*Assumptions!$C$11)*Calc_BNP!$B$16+Calc_BNP!$B$8*(1+Assumptions!$C$13)-Calc_BNP!$B$10*(1+Assumptions!$C$12))*(1-Assumptions!$C$14))/(Calc_BNP!$B$17+(((Calc_BNP!$B$20+$A18*(1-H$14)*Assumptions!$C$11)*Calc_BNP!$B$16+Calc_BNP!$B$8*(1+Assumptions!$C$13)-Calc_BNP!$B$10*(1+Assumptions!$C$12))*(1-Assumptions!$C$14))/2)</f>
        <v>0.10467948601728411</v>
      </c>
    </row>
    <row r="19" spans="1:8" x14ac:dyDescent="0.2">
      <c r="A19" s="31">
        <v>5.0000000000000001E-3</v>
      </c>
      <c r="B19">
        <f>(((Calc_BNP!$B$20+$A19*(1-B$14)*Assumptions!$C$11)*Calc_BNP!$B$16+Calc_BNP!$B$8*(1+Assumptions!$C$13)-Calc_BNP!$B$10*(1+Assumptions!$C$12))*(1-Assumptions!$C$14))/(Calc_BNP!$B$17+(((Calc_BNP!$B$20+$A19*(1-B$14)*Assumptions!$C$11)*Calc_BNP!$B$16+Calc_BNP!$B$8*(1+Assumptions!$C$13)-Calc_BNP!$B$10*(1+Assumptions!$C$12))*(1-Assumptions!$C$14))/2)</f>
        <v>0.13349565599179167</v>
      </c>
      <c r="C19">
        <f>(((Calc_BNP!$B$20+$A19*(1-C$14)*Assumptions!$C$11)*Calc_BNP!$B$16+Calc_BNP!$B$8*(1+Assumptions!$C$13)-Calc_BNP!$B$10*(1+Assumptions!$C$12))*(1-Assumptions!$C$14))/(Calc_BNP!$B$17+(((Calc_BNP!$B$20+$A19*(1-C$14)*Assumptions!$C$11)*Calc_BNP!$B$16+Calc_BNP!$B$8*(1+Assumptions!$C$13)-Calc_BNP!$B$10*(1+Assumptions!$C$12))*(1-Assumptions!$C$14))/2)</f>
        <v>0.12943282400302192</v>
      </c>
      <c r="D19">
        <f>(((Calc_BNP!$B$20+$A19*(1-D$14)*Assumptions!$C$11)*Calc_BNP!$B$16+Calc_BNP!$B$8*(1+Assumptions!$C$13)-Calc_BNP!$B$10*(1+Assumptions!$C$12))*(1-Assumptions!$C$14))/(Calc_BNP!$B$17+(((Calc_BNP!$B$20+$A19*(1-D$14)*Assumptions!$C$11)*Calc_BNP!$B$16+Calc_BNP!$B$8*(1+Assumptions!$C$13)-Calc_BNP!$B$10*(1+Assumptions!$C$12))*(1-Assumptions!$C$14))/2)</f>
        <v>0.12535226624550994</v>
      </c>
      <c r="E19">
        <f>(((Calc_BNP!$B$20+$A19*(1-E$14)*Assumptions!$C$11)*Calc_BNP!$B$16+Calc_BNP!$B$8*(1+Assumptions!$C$13)-Calc_BNP!$B$10*(1+Assumptions!$C$12))*(1-Assumptions!$C$14))/(Calc_BNP!$B$17+(((Calc_BNP!$B$20+$A19*(1-E$14)*Assumptions!$C$11)*Calc_BNP!$B$16+Calc_BNP!$B$8*(1+Assumptions!$C$13)-Calc_BNP!$B$10*(1+Assumptions!$C$12))*(1-Assumptions!$C$14))/2)</f>
        <v>0.12125386646175502</v>
      </c>
      <c r="F19">
        <f>(((Calc_BNP!$B$20+$A19*(1-F$14)*Assumptions!$C$11)*Calc_BNP!$B$16+Calc_BNP!$B$8*(1+Assumptions!$C$13)-Calc_BNP!$B$10*(1+Assumptions!$C$12))*(1-Assumptions!$C$14))/(Calc_BNP!$B$17+(((Calc_BNP!$B$20+$A19*(1-F$14)*Assumptions!$C$11)*Calc_BNP!$B$16+Calc_BNP!$B$8*(1+Assumptions!$C$13)-Calc_BNP!$B$10*(1+Assumptions!$C$12))*(1-Assumptions!$C$14))/2)</f>
        <v>0.11713750737536911</v>
      </c>
      <c r="G19">
        <f>(((Calc_BNP!$B$20+$A19*(1-G$14)*Assumptions!$C$11)*Calc_BNP!$B$16+Calc_BNP!$B$8*(1+Assumptions!$C$13)-Calc_BNP!$B$10*(1+Assumptions!$C$12))*(1-Assumptions!$C$14))/(Calc_BNP!$B$17+(((Calc_BNP!$B$20+$A19*(1-G$14)*Assumptions!$C$11)*Calc_BNP!$B$16+Calc_BNP!$B$8*(1+Assumptions!$C$13)-Calc_BNP!$B$10*(1+Assumptions!$C$12))*(1-Assumptions!$C$14))/2)</f>
        <v>0.11300307067989046</v>
      </c>
      <c r="H19">
        <f>(((Calc_BNP!$B$20+$A19*(1-H$14)*Assumptions!$C$11)*Calc_BNP!$B$16+Calc_BNP!$B$8*(1+Assumptions!$C$13)-Calc_BNP!$B$10*(1+Assumptions!$C$12))*(1-Assumptions!$C$14))/(Calc_BNP!$B$17+(((Calc_BNP!$B$20+$A19*(1-H$14)*Assumptions!$C$11)*Calc_BNP!$B$16+Calc_BNP!$B$8*(1+Assumptions!$C$13)-Calc_BNP!$B$10*(1+Assumptions!$C$12))*(1-Assumptions!$C$14))/2)</f>
        <v>0.10885043702744933</v>
      </c>
    </row>
    <row r="22" spans="1:8" x14ac:dyDescent="0.2">
      <c r="A22" s="9" t="s">
        <v>207</v>
      </c>
    </row>
    <row r="23" spans="1:8" x14ac:dyDescent="0.2">
      <c r="A23" s="10" t="s">
        <v>205</v>
      </c>
      <c r="B23" s="30">
        <v>0.2</v>
      </c>
      <c r="C23" s="30">
        <v>0.3</v>
      </c>
      <c r="D23" s="30">
        <v>0.4</v>
      </c>
      <c r="E23" s="30">
        <v>0.5</v>
      </c>
      <c r="F23" s="30">
        <v>0.6</v>
      </c>
      <c r="G23" s="30">
        <v>0.7</v>
      </c>
      <c r="H23" s="30">
        <v>0.8</v>
      </c>
    </row>
    <row r="24" spans="1:8" x14ac:dyDescent="0.2">
      <c r="A24" s="31">
        <v>-5.0000000000000001E-3</v>
      </c>
      <c r="B24" s="32">
        <f>(((Calc_Deutsche!$B$20+$A24*(1-B$23)*Assumptions!$D$11)*Calc_Deutsche!$B$16+Calc_Deutsche!$B$8*(1+Assumptions!$D$13)-Calc_Deutsche!$B$10*(1+Assumptions!$D$12))*(1-Calc_Deutsche!$B$21))/(Calc_Deutsche!$B$17+(((Calc_Deutsche!$B$20+$A24*(1-B$23)*Assumptions!$D$11)*Calc_Deutsche!$B$16+Calc_Deutsche!$B$8*(1+Assumptions!$D$13)-Calc_Deutsche!$B$10*(1+Assumptions!$D$12))*(1-Calc_Deutsche!$B$21))/2)</f>
        <v>6.6824930675356414E-2</v>
      </c>
      <c r="C24">
        <f>(((Calc_Deutsche!$B$20+$A24*(1-C$23)*Assumptions!$D$11)*Calc_Deutsche!$B$16+Calc_Deutsche!$B$8*(1+Assumptions!$D$13)-Calc_Deutsche!$B$10*(1+Assumptions!$D$12))*(1-Calc_Deutsche!$B$21))/(Calc_Deutsche!$B$17+(((Calc_Deutsche!$B$20+$A24*(1-C$23)*Assumptions!$D$11)*Calc_Deutsche!$B$16+Calc_Deutsche!$B$8*(1+Assumptions!$D$13)-Calc_Deutsche!$B$10*(1+Assumptions!$D$12))*(1-Calc_Deutsche!$B$21))/2)</f>
        <v>7.0678306043329003E-2</v>
      </c>
      <c r="D24">
        <f>(((Calc_Deutsche!$B$20+$A24*(1-D$23)*Assumptions!$D$11)*Calc_Deutsche!$B$16+Calc_Deutsche!$B$8*(1+Assumptions!$D$13)-Calc_Deutsche!$B$10*(1+Assumptions!$D$12))*(1-Calc_Deutsche!$B$21))/(Calc_Deutsche!$B$17+(((Calc_Deutsche!$B$20+$A24*(1-D$23)*Assumptions!$D$11)*Calc_Deutsche!$B$16+Calc_Deutsche!$B$8*(1+Assumptions!$D$13)-Calc_Deutsche!$B$10*(1+Assumptions!$D$12))*(1-Calc_Deutsche!$B$21))/2)</f>
        <v>7.451635019428493E-2</v>
      </c>
      <c r="E24">
        <f>(((Calc_Deutsche!$B$20+$A24*(1-E$23)*Assumptions!$D$11)*Calc_Deutsche!$B$16+Calc_Deutsche!$B$8*(1+Assumptions!$D$13)-Calc_Deutsche!$B$10*(1+Assumptions!$D$12))*(1-Calc_Deutsche!$B$21))/(Calc_Deutsche!$B$17+(((Calc_Deutsche!$B$20+$A24*(1-E$23)*Assumptions!$D$11)*Calc_Deutsche!$B$16+Calc_Deutsche!$B$8*(1+Assumptions!$D$13)-Calc_Deutsche!$B$10*(1+Assumptions!$D$12))*(1-Calc_Deutsche!$B$21))/2)</f>
        <v>7.833915444280104E-2</v>
      </c>
      <c r="F24">
        <f>(((Calc_Deutsche!$B$20+$A24*(1-F$23)*Assumptions!$D$11)*Calc_Deutsche!$B$16+Calc_Deutsche!$B$8*(1+Assumptions!$D$13)-Calc_Deutsche!$B$10*(1+Assumptions!$D$12))*(1-Calc_Deutsche!$B$21))/(Calc_Deutsche!$B$17+(((Calc_Deutsche!$B$20+$A24*(1-F$23)*Assumptions!$D$11)*Calc_Deutsche!$B$16+Calc_Deutsche!$B$8*(1+Assumptions!$D$13)-Calc_Deutsche!$B$10*(1+Assumptions!$D$12))*(1-Calc_Deutsche!$B$21))/2)</f>
        <v>8.2146809379716842E-2</v>
      </c>
      <c r="G24">
        <f>(((Calc_Deutsche!$B$20+$A24*(1-G$23)*Assumptions!$D$11)*Calc_Deutsche!$B$16+Calc_Deutsche!$B$8*(1+Assumptions!$D$13)-Calc_Deutsche!$B$10*(1+Assumptions!$D$12))*(1-Calc_Deutsche!$B$21))/(Calc_Deutsche!$B$17+(((Calc_Deutsche!$B$20+$A24*(1-G$23)*Assumptions!$D$11)*Calc_Deutsche!$B$16+Calc_Deutsche!$B$8*(1+Assumptions!$D$13)-Calc_Deutsche!$B$10*(1+Assumptions!$D$12))*(1-Calc_Deutsche!$B$21))/2)</f>
        <v>8.5939404879290637E-2</v>
      </c>
      <c r="H24">
        <f>(((Calc_Deutsche!$B$20+$A24*(1-H$23)*Assumptions!$D$11)*Calc_Deutsche!$B$16+Calc_Deutsche!$B$8*(1+Assumptions!$D$13)-Calc_Deutsche!$B$10*(1+Assumptions!$D$12))*(1-Calc_Deutsche!$B$21))/(Calc_Deutsche!$B$17+(((Calc_Deutsche!$B$20+$A24*(1-H$23)*Assumptions!$D$11)*Calc_Deutsche!$B$16+Calc_Deutsche!$B$8*(1+Assumptions!$D$13)-Calc_Deutsche!$B$10*(1+Assumptions!$D$12))*(1-Calc_Deutsche!$B$21))/2)</f>
        <v>8.9717030106270704E-2</v>
      </c>
    </row>
    <row r="25" spans="1:8" x14ac:dyDescent="0.2">
      <c r="A25" s="31">
        <v>-2.5000000000000001E-3</v>
      </c>
      <c r="B25">
        <f>(((Calc_Deutsche!$B$20+$A25*(1-B$23)*Assumptions!$D$11)*Calc_Deutsche!$B$16+Calc_Deutsche!$B$8*(1+Assumptions!$D$13)-Calc_Deutsche!$B$10*(1+Assumptions!$D$12))*(1-Calc_Deutsche!$B$21))/(Calc_Deutsche!$B$17+(((Calc_Deutsche!$B$20+$A25*(1-B$23)*Assumptions!$D$11)*Calc_Deutsche!$B$16+Calc_Deutsche!$B$8*(1+Assumptions!$D$13)-Calc_Deutsche!$B$10*(1+Assumptions!$D$12))*(1-Calc_Deutsche!$B$21))/2)</f>
        <v>8.2146809379716842E-2</v>
      </c>
      <c r="C25">
        <f>(((Calc_Deutsche!$B$20+$A25*(1-C$23)*Assumptions!$D$11)*Calc_Deutsche!$B$16+Calc_Deutsche!$B$8*(1+Assumptions!$D$13)-Calc_Deutsche!$B$10*(1+Assumptions!$D$12))*(1-Calc_Deutsche!$B$21))/(Calc_Deutsche!$B$17+(((Calc_Deutsche!$B$20+$A25*(1-C$23)*Assumptions!$D$11)*Calc_Deutsche!$B$16+Calc_Deutsche!$B$8*(1+Assumptions!$D$13)-Calc_Deutsche!$B$10*(1+Assumptions!$D$12))*(1-Calc_Deutsche!$B$21))/2)</f>
        <v>8.4044983969827874E-2</v>
      </c>
      <c r="D25">
        <f>(((Calc_Deutsche!$B$20+$A25*(1-D$23)*Assumptions!$D$11)*Calc_Deutsche!$B$16+Calc_Deutsche!$B$8*(1+Assumptions!$D$13)-Calc_Deutsche!$B$10*(1+Assumptions!$D$12))*(1-Calc_Deutsche!$B$21))/(Calc_Deutsche!$B$17+(((Calc_Deutsche!$B$20+$A25*(1-D$23)*Assumptions!$D$11)*Calc_Deutsche!$B$16+Calc_Deutsche!$B$8*(1+Assumptions!$D$13)-Calc_Deutsche!$B$10*(1+Assumptions!$D$12))*(1-Calc_Deutsche!$B$21))/2)</f>
        <v>8.5939404879290637E-2</v>
      </c>
      <c r="E25">
        <f>(((Calc_Deutsche!$B$20+$A25*(1-E$23)*Assumptions!$D$11)*Calc_Deutsche!$B$16+Calc_Deutsche!$B$8*(1+Assumptions!$D$13)-Calc_Deutsche!$B$10*(1+Assumptions!$D$12))*(1-Calc_Deutsche!$B$21))/(Calc_Deutsche!$B$17+(((Calc_Deutsche!$B$20+$A25*(1-E$23)*Assumptions!$D$11)*Calc_Deutsche!$B$16+Calc_Deutsche!$B$8*(1+Assumptions!$D$13)-Calc_Deutsche!$B$10*(1+Assumptions!$D$12))*(1-Calc_Deutsche!$B$21))/2)</f>
        <v>8.7830083231581688E-2</v>
      </c>
      <c r="F25">
        <f>(((Calc_Deutsche!$B$20+$A25*(1-F$23)*Assumptions!$D$11)*Calc_Deutsche!$B$16+Calc_Deutsche!$B$8*(1+Assumptions!$D$13)-Calc_Deutsche!$B$10*(1+Assumptions!$D$12))*(1-Calc_Deutsche!$B$21))/(Calc_Deutsche!$B$17+(((Calc_Deutsche!$B$20+$A25*(1-F$23)*Assumptions!$D$11)*Calc_Deutsche!$B$16+Calc_Deutsche!$B$8*(1+Assumptions!$D$13)-Calc_Deutsche!$B$10*(1+Assumptions!$D$12))*(1-Calc_Deutsche!$B$21))/2)</f>
        <v>8.9717030106270704E-2</v>
      </c>
      <c r="G25">
        <f>(((Calc_Deutsche!$B$20+$A25*(1-G$23)*Assumptions!$D$11)*Calc_Deutsche!$B$16+Calc_Deutsche!$B$8*(1+Assumptions!$D$13)-Calc_Deutsche!$B$10*(1+Assumptions!$D$12))*(1-Calc_Deutsche!$B$21))/(Calc_Deutsche!$B$17+(((Calc_Deutsche!$B$20+$A25*(1-G$23)*Assumptions!$D$11)*Calc_Deutsche!$B$16+Calc_Deutsche!$B$8*(1+Assumptions!$D$13)-Calc_Deutsche!$B$10*(1+Assumptions!$D$12))*(1-Calc_Deutsche!$B$21))/2)</f>
        <v>9.1600256539236619E-2</v>
      </c>
      <c r="H25">
        <f>(((Calc_Deutsche!$B$20+$A25*(1-H$23)*Assumptions!$D$11)*Calc_Deutsche!$B$16+Calc_Deutsche!$B$8*(1+Assumptions!$D$13)-Calc_Deutsche!$B$10*(1+Assumptions!$D$12))*(1-Calc_Deutsche!$B$21))/(Calc_Deutsche!$B$17+(((Calc_Deutsche!$B$20+$A25*(1-H$23)*Assumptions!$D$11)*Calc_Deutsche!$B$16+Calc_Deutsche!$B$8*(1+Assumptions!$D$13)-Calc_Deutsche!$B$10*(1+Assumptions!$D$12))*(1-Calc_Deutsche!$B$21))/2)</f>
        <v>9.3479773522883114E-2</v>
      </c>
    </row>
    <row r="26" spans="1:8" x14ac:dyDescent="0.2">
      <c r="A26" s="31">
        <v>0</v>
      </c>
      <c r="B26">
        <f>(((Calc_Deutsche!$B$20+$A26*(1-B$23)*Assumptions!$D$11)*Calc_Deutsche!$B$16+Calc_Deutsche!$B$8*(1+Assumptions!$D$13)-Calc_Deutsche!$B$10*(1+Assumptions!$D$12))*(1-Calc_Deutsche!$B$21))/(Calc_Deutsche!$B$17+(((Calc_Deutsche!$B$20+$A26*(1-B$23)*Assumptions!$D$11)*Calc_Deutsche!$B$16+Calc_Deutsche!$B$8*(1+Assumptions!$D$13)-Calc_Deutsche!$B$10*(1+Assumptions!$D$12))*(1-Calc_Deutsche!$B$21))/2)</f>
        <v>9.7227722895737001E-2</v>
      </c>
      <c r="C26">
        <f>(((Calc_Deutsche!$B$20+$A26*(1-C$23)*Assumptions!$D$11)*Calc_Deutsche!$B$16+Calc_Deutsche!$B$8*(1+Assumptions!$D$13)-Calc_Deutsche!$B$10*(1+Assumptions!$D$12))*(1-Calc_Deutsche!$B$21))/(Calc_Deutsche!$B$17+(((Calc_Deutsche!$B$20+$A26*(1-C$23)*Assumptions!$D$11)*Calc_Deutsche!$B$16+Calc_Deutsche!$B$8*(1+Assumptions!$D$13)-Calc_Deutsche!$B$10*(1+Assumptions!$D$12))*(1-Calc_Deutsche!$B$21))/2)</f>
        <v>9.7227722895737001E-2</v>
      </c>
      <c r="D26">
        <f>(((Calc_Deutsche!$B$20+$A26*(1-D$23)*Assumptions!$D$11)*Calc_Deutsche!$B$16+Calc_Deutsche!$B$8*(1+Assumptions!$D$13)-Calc_Deutsche!$B$10*(1+Assumptions!$D$12))*(1-Calc_Deutsche!$B$21))/(Calc_Deutsche!$B$17+(((Calc_Deutsche!$B$20+$A26*(1-D$23)*Assumptions!$D$11)*Calc_Deutsche!$B$16+Calc_Deutsche!$B$8*(1+Assumptions!$D$13)-Calc_Deutsche!$B$10*(1+Assumptions!$D$12))*(1-Calc_Deutsche!$B$21))/2)</f>
        <v>9.7227722895737001E-2</v>
      </c>
      <c r="E26">
        <f>(((Calc_Deutsche!$B$20+$A26*(1-E$23)*Assumptions!$D$11)*Calc_Deutsche!$B$16+Calc_Deutsche!$B$8*(1+Assumptions!$D$13)-Calc_Deutsche!$B$10*(1+Assumptions!$D$12))*(1-Calc_Deutsche!$B$21))/(Calc_Deutsche!$B$17+(((Calc_Deutsche!$B$20+$A26*(1-E$23)*Assumptions!$D$11)*Calc_Deutsche!$B$16+Calc_Deutsche!$B$8*(1+Assumptions!$D$13)-Calc_Deutsche!$B$10*(1+Assumptions!$D$12))*(1-Calc_Deutsche!$B$21))/2)</f>
        <v>9.7227722895737001E-2</v>
      </c>
      <c r="F26">
        <f>(((Calc_Deutsche!$B$20+$A26*(1-F$23)*Assumptions!$D$11)*Calc_Deutsche!$B$16+Calc_Deutsche!$B$8*(1+Assumptions!$D$13)-Calc_Deutsche!$B$10*(1+Assumptions!$D$12))*(1-Calc_Deutsche!$B$21))/(Calc_Deutsche!$B$17+(((Calc_Deutsche!$B$20+$A26*(1-F$23)*Assumptions!$D$11)*Calc_Deutsche!$B$16+Calc_Deutsche!$B$8*(1+Assumptions!$D$13)-Calc_Deutsche!$B$10*(1+Assumptions!$D$12))*(1-Calc_Deutsche!$B$21))/2)</f>
        <v>9.7227722895737001E-2</v>
      </c>
      <c r="G26">
        <f>(((Calc_Deutsche!$B$20+$A26*(1-G$23)*Assumptions!$D$11)*Calc_Deutsche!$B$16+Calc_Deutsche!$B$8*(1+Assumptions!$D$13)-Calc_Deutsche!$B$10*(1+Assumptions!$D$12))*(1-Calc_Deutsche!$B$21))/(Calc_Deutsche!$B$17+(((Calc_Deutsche!$B$20+$A26*(1-G$23)*Assumptions!$D$11)*Calc_Deutsche!$B$16+Calc_Deutsche!$B$8*(1+Assumptions!$D$13)-Calc_Deutsche!$B$10*(1+Assumptions!$D$12))*(1-Calc_Deutsche!$B$21))/2)</f>
        <v>9.7227722895737001E-2</v>
      </c>
      <c r="H26">
        <f>(((Calc_Deutsche!$B$20+$A26*(1-H$23)*Assumptions!$D$11)*Calc_Deutsche!$B$16+Calc_Deutsche!$B$8*(1+Assumptions!$D$13)-Calc_Deutsche!$B$10*(1+Assumptions!$D$12))*(1-Calc_Deutsche!$B$21))/(Calc_Deutsche!$B$17+(((Calc_Deutsche!$B$20+$A26*(1-H$23)*Assumptions!$D$11)*Calc_Deutsche!$B$16+Calc_Deutsche!$B$8*(1+Assumptions!$D$13)-Calc_Deutsche!$B$10*(1+Assumptions!$D$12))*(1-Calc_Deutsche!$B$21))/2)</f>
        <v>9.7227722895737001E-2</v>
      </c>
    </row>
    <row r="27" spans="1:8" x14ac:dyDescent="0.2">
      <c r="A27" s="31">
        <v>2.5000000000000001E-3</v>
      </c>
      <c r="B27">
        <f>(((Calc_Deutsche!$B$20+$A27*(1-B$23)*Assumptions!$D$11)*Calc_Deutsche!$B$16+Calc_Deutsche!$B$8*(1+Assumptions!$D$13)-Calc_Deutsche!$B$10*(1+Assumptions!$D$12))*(1-Calc_Deutsche!$B$21))/(Calc_Deutsche!$B$17+(((Calc_Deutsche!$B$20+$A27*(1-B$23)*Assumptions!$D$11)*Calc_Deutsche!$B$16+Calc_Deutsche!$B$8*(1+Assumptions!$D$13)-Calc_Deutsche!$B$10*(1+Assumptions!$D$12))*(1-Calc_Deutsche!$B$21))/2)</f>
        <v>0.11207331131506504</v>
      </c>
      <c r="C27">
        <f>(((Calc_Deutsche!$B$20+$A27*(1-C$23)*Assumptions!$D$11)*Calc_Deutsche!$B$16+Calc_Deutsche!$B$8*(1+Assumptions!$D$13)-Calc_Deutsche!$B$10*(1+Assumptions!$D$12))*(1-Calc_Deutsche!$B$21))/(Calc_Deutsche!$B$17+(((Calc_Deutsche!$B$20+$A27*(1-C$23)*Assumptions!$D$11)*Calc_Deutsche!$B$16+Calc_Deutsche!$B$8*(1+Assumptions!$D$13)-Calc_Deutsche!$B$10*(1+Assumptions!$D$12))*(1-Calc_Deutsche!$B$21))/2)</f>
        <v>0.11023029365569507</v>
      </c>
      <c r="D27">
        <f>(((Calc_Deutsche!$B$20+$A27*(1-D$23)*Assumptions!$D$11)*Calc_Deutsche!$B$16+Calc_Deutsche!$B$8*(1+Assumptions!$D$13)-Calc_Deutsche!$B$10*(1+Assumptions!$D$12))*(1-Calc_Deutsche!$B$21))/(Calc_Deutsche!$B$17+(((Calc_Deutsche!$B$20+$A27*(1-D$23)*Assumptions!$D$11)*Calc_Deutsche!$B$16+Calc_Deutsche!$B$8*(1+Assumptions!$D$13)-Calc_Deutsche!$B$10*(1+Assumptions!$D$12))*(1-Calc_Deutsche!$B$21))/2)</f>
        <v>0.10838367412632867</v>
      </c>
      <c r="E27">
        <f>(((Calc_Deutsche!$B$20+$A27*(1-E$23)*Assumptions!$D$11)*Calc_Deutsche!$B$16+Calc_Deutsche!$B$8*(1+Assumptions!$D$13)-Calc_Deutsche!$B$10*(1+Assumptions!$D$12))*(1-Calc_Deutsche!$B$21))/(Calc_Deutsche!$B$17+(((Calc_Deutsche!$B$20+$A27*(1-E$23)*Assumptions!$D$11)*Calc_Deutsche!$B$16+Calc_Deutsche!$B$8*(1+Assumptions!$D$13)-Calc_Deutsche!$B$10*(1+Assumptions!$D$12))*(1-Calc_Deutsche!$B$21))/2)</f>
        <v>0.10653344215775849</v>
      </c>
      <c r="F27">
        <f>(((Calc_Deutsche!$B$20+$A27*(1-F$23)*Assumptions!$D$11)*Calc_Deutsche!$B$16+Calc_Deutsche!$B$8*(1+Assumptions!$D$13)-Calc_Deutsche!$B$10*(1+Assumptions!$D$12))*(1-Calc_Deutsche!$B$21))/(Calc_Deutsche!$B$17+(((Calc_Deutsche!$B$20+$A27*(1-F$23)*Assumptions!$D$11)*Calc_Deutsche!$B$16+Calc_Deutsche!$B$8*(1+Assumptions!$D$13)-Calc_Deutsche!$B$10*(1+Assumptions!$D$12))*(1-Calc_Deutsche!$B$21))/2)</f>
        <v>0.10467958713938487</v>
      </c>
      <c r="G27">
        <f>(((Calc_Deutsche!$B$20+$A27*(1-G$23)*Assumptions!$D$11)*Calc_Deutsche!$B$16+Calc_Deutsche!$B$8*(1+Assumptions!$D$13)-Calc_Deutsche!$B$10*(1+Assumptions!$D$12))*(1-Calc_Deutsche!$B$21))/(Calc_Deutsche!$B$17+(((Calc_Deutsche!$B$20+$A27*(1-G$23)*Assumptions!$D$11)*Calc_Deutsche!$B$16+Calc_Deutsche!$B$8*(1+Assumptions!$D$13)-Calc_Deutsche!$B$10*(1+Assumptions!$D$12))*(1-Calc_Deutsche!$B$21))/2)</f>
        <v>0.10282209841901295</v>
      </c>
      <c r="H27">
        <f>(((Calc_Deutsche!$B$20+$A27*(1-H$23)*Assumptions!$D$11)*Calc_Deutsche!$B$16+Calc_Deutsche!$B$8*(1+Assumptions!$D$13)-Calc_Deutsche!$B$10*(1+Assumptions!$D$12))*(1-Calc_Deutsche!$B$21))/(Calc_Deutsche!$B$17+(((Calc_Deutsche!$B$20+$A27*(1-H$23)*Assumptions!$D$11)*Calc_Deutsche!$B$16+Calc_Deutsche!$B$8*(1+Assumptions!$D$13)-Calc_Deutsche!$B$10*(1+Assumptions!$D$12))*(1-Calc_Deutsche!$B$21))/2)</f>
        <v>0.10096096530264856</v>
      </c>
    </row>
    <row r="28" spans="1:8" x14ac:dyDescent="0.2">
      <c r="A28" s="31">
        <v>5.0000000000000001E-3</v>
      </c>
      <c r="B28">
        <f>(((Calc_Deutsche!$B$20+$A28*(1-B$23)*Assumptions!$D$11)*Calc_Deutsche!$B$16+Calc_Deutsche!$B$8*(1+Assumptions!$D$13)-Calc_Deutsche!$B$10*(1+Assumptions!$D$12))*(1-Calc_Deutsche!$B$21))/(Calc_Deutsche!$B$17+(((Calc_Deutsche!$B$20+$A28*(1-B$23)*Assumptions!$D$11)*Calc_Deutsche!$B$16+Calc_Deutsche!$B$8*(1+Assumptions!$D$13)-Calc_Deutsche!$B$10*(1+Assumptions!$D$12))*(1-Calc_Deutsche!$B$21))/2)</f>
        <v>0.12668904007415685</v>
      </c>
      <c r="C28">
        <f>(((Calc_Deutsche!$B$20+$A28*(1-C$23)*Assumptions!$D$11)*Calc_Deutsche!$B$16+Calc_Deutsche!$B$8*(1+Assumptions!$D$13)-Calc_Deutsche!$B$10*(1+Assumptions!$D$12))*(1-Calc_Deutsche!$B$21))/(Calc_Deutsche!$B$17+(((Calc_Deutsche!$B$20+$A28*(1-C$23)*Assumptions!$D$11)*Calc_Deutsche!$B$16+Calc_Deutsche!$B$8*(1+Assumptions!$D$13)-Calc_Deutsche!$B$10*(1+Assumptions!$D$12))*(1-Calc_Deutsche!$B$21))/2)</f>
        <v>0.12305636471209329</v>
      </c>
      <c r="D28">
        <f>(((Calc_Deutsche!$B$20+$A28*(1-D$23)*Assumptions!$D$11)*Calc_Deutsche!$B$16+Calc_Deutsche!$B$8*(1+Assumptions!$D$13)-Calc_Deutsche!$B$10*(1+Assumptions!$D$12))*(1-Calc_Deutsche!$B$21))/(Calc_Deutsche!$B$17+(((Calc_Deutsche!$B$20+$A28*(1-D$23)*Assumptions!$D$11)*Calc_Deutsche!$B$16+Calc_Deutsche!$B$8*(1+Assumptions!$D$13)-Calc_Deutsche!$B$10*(1+Assumptions!$D$12))*(1-Calc_Deutsche!$B$21))/2)</f>
        <v>0.11940957319925125</v>
      </c>
      <c r="E28">
        <f>(((Calc_Deutsche!$B$20+$A28*(1-E$23)*Assumptions!$D$11)*Calc_Deutsche!$B$16+Calc_Deutsche!$B$8*(1+Assumptions!$D$13)-Calc_Deutsche!$B$10*(1+Assumptions!$D$12))*(1-Calc_Deutsche!$B$21))/(Calc_Deutsche!$B$17+(((Calc_Deutsche!$B$20+$A28*(1-E$23)*Assumptions!$D$11)*Calc_Deutsche!$B$16+Calc_Deutsche!$B$8*(1+Assumptions!$D$13)-Calc_Deutsche!$B$10*(1+Assumptions!$D$12))*(1-Calc_Deutsche!$B$21))/2)</f>
        <v>0.11574858309489143</v>
      </c>
      <c r="F28">
        <f>(((Calc_Deutsche!$B$20+$A28*(1-F$23)*Assumptions!$D$11)*Calc_Deutsche!$B$16+Calc_Deutsche!$B$8*(1+Assumptions!$D$13)-Calc_Deutsche!$B$10*(1+Assumptions!$D$12))*(1-Calc_Deutsche!$B$21))/(Calc_Deutsche!$B$17+(((Calc_Deutsche!$B$20+$A28*(1-F$23)*Assumptions!$D$11)*Calc_Deutsche!$B$16+Calc_Deutsche!$B$8*(1+Assumptions!$D$13)-Calc_Deutsche!$B$10*(1+Assumptions!$D$12))*(1-Calc_Deutsche!$B$21))/2)</f>
        <v>0.11207331131506504</v>
      </c>
      <c r="G28">
        <f>(((Calc_Deutsche!$B$20+$A28*(1-G$23)*Assumptions!$D$11)*Calc_Deutsche!$B$16+Calc_Deutsche!$B$8*(1+Assumptions!$D$13)-Calc_Deutsche!$B$10*(1+Assumptions!$D$12))*(1-Calc_Deutsche!$B$21))/(Calc_Deutsche!$B$17+(((Calc_Deutsche!$B$20+$A28*(1-G$23)*Assumptions!$D$11)*Calc_Deutsche!$B$16+Calc_Deutsche!$B$8*(1+Assumptions!$D$13)-Calc_Deutsche!$B$10*(1+Assumptions!$D$12))*(1-Calc_Deutsche!$B$21))/2)</f>
        <v>0.10838367412632867</v>
      </c>
      <c r="H28">
        <f>(((Calc_Deutsche!$B$20+$A28*(1-H$23)*Assumptions!$D$11)*Calc_Deutsche!$B$16+Calc_Deutsche!$B$8*(1+Assumptions!$D$13)-Calc_Deutsche!$B$10*(1+Assumptions!$D$12))*(1-Calc_Deutsche!$B$21))/(Calc_Deutsche!$B$17+(((Calc_Deutsche!$B$20+$A28*(1-H$23)*Assumptions!$D$11)*Calc_Deutsche!$B$16+Calc_Deutsche!$B$8*(1+Assumptions!$D$13)-Calc_Deutsche!$B$10*(1+Assumptions!$D$12))*(1-Calc_Deutsche!$B$21))/2)</f>
        <v>0.10467958713938487</v>
      </c>
    </row>
  </sheetData>
  <conditionalFormatting sqref="B6:H10">
    <cfRule type="cellIs" dxfId="8" priority="1" operator="lessThan">
      <formula>0.04</formula>
    </cfRule>
  </conditionalFormatting>
  <conditionalFormatting sqref="B6:H10">
    <cfRule type="cellIs" dxfId="7" priority="2" operator="greaterThanOrEqual">
      <formula>0.08</formula>
    </cfRule>
  </conditionalFormatting>
  <conditionalFormatting sqref="B6:H10">
    <cfRule type="cellIs" dxfId="6" priority="3" operator="between">
      <formula>0.04</formula>
      <formula>0.08</formula>
    </cfRule>
  </conditionalFormatting>
  <conditionalFormatting sqref="B15:H19">
    <cfRule type="cellIs" dxfId="5" priority="4" operator="lessThan">
      <formula>0.04</formula>
    </cfRule>
  </conditionalFormatting>
  <conditionalFormatting sqref="B15:H19">
    <cfRule type="cellIs" dxfId="4" priority="5" operator="greaterThanOrEqual">
      <formula>0.08</formula>
    </cfRule>
  </conditionalFormatting>
  <conditionalFormatting sqref="B15:H19">
    <cfRule type="cellIs" dxfId="3" priority="6" operator="between">
      <formula>0.04</formula>
      <formula>0.08</formula>
    </cfRule>
  </conditionalFormatting>
  <conditionalFormatting sqref="B24:H28">
    <cfRule type="cellIs" dxfId="2" priority="7" operator="lessThan">
      <formula>0.04</formula>
    </cfRule>
  </conditionalFormatting>
  <conditionalFormatting sqref="B24:H28">
    <cfRule type="cellIs" dxfId="1" priority="8" operator="greaterThanOrEqual">
      <formula>0.08</formula>
    </cfRule>
  </conditionalFormatting>
  <conditionalFormatting sqref="B24:H28">
    <cfRule type="cellIs" dxfId="0" priority="9" operator="between">
      <formula>0.04</formula>
      <formula>0.08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7756-3AF1-C146-932D-3F65C26D4FB5}">
  <dimension ref="A1:D22"/>
  <sheetViews>
    <sheetView workbookViewId="0">
      <selection activeCell="C32" sqref="C32"/>
    </sheetView>
  </sheetViews>
  <sheetFormatPr baseColWidth="10" defaultRowHeight="16" x14ac:dyDescent="0.2"/>
  <cols>
    <col min="1" max="1" width="33.33203125" customWidth="1"/>
    <col min="2" max="4" width="18.33203125" customWidth="1"/>
  </cols>
  <sheetData>
    <row r="1" spans="1:4" ht="19" x14ac:dyDescent="0.25">
      <c r="A1" s="5" t="s">
        <v>252</v>
      </c>
    </row>
    <row r="2" spans="1:4" x14ac:dyDescent="0.2">
      <c r="A2" s="8" t="s">
        <v>208</v>
      </c>
    </row>
    <row r="3" spans="1:4" x14ac:dyDescent="0.2">
      <c r="B3" s="33" t="s">
        <v>158</v>
      </c>
      <c r="C3" s="34" t="s">
        <v>155</v>
      </c>
      <c r="D3" s="35" t="s">
        <v>159</v>
      </c>
    </row>
    <row r="4" spans="1:4" x14ac:dyDescent="0.2">
      <c r="A4" s="3" t="s">
        <v>209</v>
      </c>
      <c r="B4" s="36">
        <v>-2.5000000000000001E-3</v>
      </c>
      <c r="C4" s="36">
        <v>0</v>
      </c>
      <c r="D4" s="36">
        <v>2.5000000000000001E-3</v>
      </c>
    </row>
    <row r="6" spans="1:4" x14ac:dyDescent="0.2">
      <c r="A6" s="9" t="s">
        <v>210</v>
      </c>
    </row>
    <row r="7" spans="1:4" x14ac:dyDescent="0.2">
      <c r="A7" t="s">
        <v>112</v>
      </c>
      <c r="B7" s="37">
        <f>((Calc_Barclays!$B$20+B$4*(1-Assumptions!$B$10)*Assumptions!$B$11)*Calc_Barclays!$B$16+Calc_Barclays!$B$8*(1+Assumptions!$B$13)-Calc_Barclays!$B$10*(1+Assumptions!$B$12))*(1-Assumptions!$B$14)</f>
        <v>6.8497217996999993</v>
      </c>
      <c r="C7" s="23">
        <f>((Calc_Barclays!$B$20+C$4*(1-Assumptions!$B$10)*Assumptions!$B$11)*Calc_Barclays!$B$16+Calc_Barclays!$B$8*(1+Assumptions!$B$13)-Calc_Barclays!$B$10*(1+Assumptions!$B$12))*(1-Assumptions!$B$14)</f>
        <v>7.9658279999999992</v>
      </c>
      <c r="D7" s="23">
        <f>((Calc_Barclays!$B$20+D$4*(1-Assumptions!$B$10)*Assumptions!$B$11)*Calc_Barclays!$B$16+Calc_Barclays!$B$8*(1+Assumptions!$B$13)-Calc_Barclays!$B$10*(1+Assumptions!$B$12))*(1-Assumptions!$B$14)</f>
        <v>9.081934200300001</v>
      </c>
    </row>
    <row r="8" spans="1:4" x14ac:dyDescent="0.2">
      <c r="A8" t="s">
        <v>86</v>
      </c>
      <c r="B8" s="32">
        <f>B7/(Calc_Barclays!$B$17+B7/2)</f>
        <v>9.1031210458430059E-2</v>
      </c>
      <c r="C8" s="25">
        <f>C7/(Calc_Barclays!$B$17+C7/2)</f>
        <v>0.10508465301672945</v>
      </c>
      <c r="D8" s="25">
        <f>D7/(Calc_Barclays!$B$17+D7/2)</f>
        <v>0.11893269051580209</v>
      </c>
    </row>
    <row r="9" spans="1:4" x14ac:dyDescent="0.2">
      <c r="A9" t="s">
        <v>211</v>
      </c>
      <c r="B9" s="32">
        <f>Calc_Barclays!$B$20+B$4*(1-Assumptions!$B$10)*Assumptions!$B$11</f>
        <v>7.5781052949475758E-3</v>
      </c>
      <c r="C9" s="25">
        <f>Calc_Barclays!$B$20+C$4*(1-Assumptions!$B$10)*Assumptions!$B$11</f>
        <v>8.5206052949475756E-3</v>
      </c>
      <c r="D9" s="25">
        <f>Calc_Barclays!$B$20+D$4*(1-Assumptions!$B$10)*Assumptions!$B$11</f>
        <v>9.4631052949475762E-3</v>
      </c>
    </row>
    <row r="10" spans="1:4" x14ac:dyDescent="0.2">
      <c r="A10" t="s">
        <v>212</v>
      </c>
      <c r="B10" s="32">
        <f>(Calc_Barclays!$B$10*(1+Assumptions!$B$12))/((Calc_Barclays!$B$20+B$4*(1-Assumptions!$B$10)*Assumptions!$B$11)*Calc_Barclays!$B$16+Calc_Barclays!$B$8*(1+Assumptions!$B$13))</f>
        <v>0.64964278839745404</v>
      </c>
      <c r="C10" s="25">
        <f>(Calc_Barclays!$B$10*(1+Assumptions!$B$12))/((Calc_Barclays!$B$20+C$4*(1-Assumptions!$B$10)*Assumptions!$B$11)*Calc_Barclays!$B$16+Calc_Barclays!$B$8*(1+Assumptions!$B$13))</f>
        <v>0.61455894274883494</v>
      </c>
      <c r="D10" s="25">
        <f>(Calc_Barclays!$B$10*(1+Assumptions!$B$12))/((Calc_Barclays!$B$20+D$4*(1-Assumptions!$B$10)*Assumptions!$B$11)*Calc_Barclays!$B$16+Calc_Barclays!$B$8*(1+Assumptions!$B$13))</f>
        <v>0.58307033106452899</v>
      </c>
    </row>
    <row r="12" spans="1:4" x14ac:dyDescent="0.2">
      <c r="A12" s="9" t="s">
        <v>213</v>
      </c>
    </row>
    <row r="13" spans="1:4" x14ac:dyDescent="0.2">
      <c r="A13" t="s">
        <v>112</v>
      </c>
      <c r="B13" s="37">
        <f>((Calc_BNP!$B$20+B$4*(1-Assumptions!$C$10)*Assumptions!$C$11)*Calc_BNP!$B$16+Calc_BNP!$B$8*(1+Assumptions!$C$13)-Calc_BNP!$B$10*(1+Assumptions!$C$12))*(1-Assumptions!$C$14)</f>
        <v>11.708767236600009</v>
      </c>
      <c r="C13" s="23">
        <f>((Calc_BNP!$B$20+C$4*(1-Assumptions!$C$10)*Assumptions!$C$11)*Calc_BNP!$B$16+Calc_BNP!$B$8*(1+Assumptions!$C$13)-Calc_BNP!$B$10*(1+Assumptions!$C$12))*(1-Assumptions!$C$14)</f>
        <v>13.557707100000002</v>
      </c>
      <c r="D13" s="23">
        <f>((Calc_BNP!$B$20+D$4*(1-Assumptions!$C$10)*Assumptions!$C$11)*Calc_BNP!$B$16+Calc_BNP!$B$8*(1+Assumptions!$C$13)-Calc_BNP!$B$10*(1+Assumptions!$C$12))*(1-Assumptions!$C$14)</f>
        <v>15.406646963400007</v>
      </c>
    </row>
    <row r="14" spans="1:4" x14ac:dyDescent="0.2">
      <c r="A14" t="s">
        <v>86</v>
      </c>
      <c r="B14" s="32">
        <f>B13/(Calc_BNP!$B$17+B13/2)</f>
        <v>8.7384478915111918E-2</v>
      </c>
      <c r="C14" s="25">
        <f>C13/(Calc_BNP!$B$17+C13/2)</f>
        <v>0.10049009618410409</v>
      </c>
      <c r="D14" s="25">
        <f>D13/(Calc_BNP!$B$17+D13/2)</f>
        <v>0.11341733123504777</v>
      </c>
    </row>
    <row r="15" spans="1:4" x14ac:dyDescent="0.2">
      <c r="A15" t="s">
        <v>211</v>
      </c>
      <c r="B15" s="32">
        <f>Calc_BNP!$B$20+B$4*(1-Assumptions!$C$10)*Assumptions!$C$11</f>
        <v>6.2879904085462431E-3</v>
      </c>
      <c r="C15" s="25">
        <f>Calc_BNP!$B$20+C$4*(1-Assumptions!$C$10)*Assumptions!$C$11</f>
        <v>7.2179904085462434E-3</v>
      </c>
      <c r="D15" s="25">
        <f>Calc_BNP!$B$20+D$4*(1-Assumptions!$C$10)*Assumptions!$C$11</f>
        <v>8.1479904085462428E-3</v>
      </c>
    </row>
    <row r="16" spans="1:4" x14ac:dyDescent="0.2">
      <c r="A16" t="s">
        <v>212</v>
      </c>
      <c r="B16" s="32">
        <f>(Calc_BNP!$B$10*(1+Assumptions!$C$12))/((Calc_BNP!$B$20+B$4*(1-Assumptions!$C$10)*Assumptions!$C$11)*Calc_BNP!$B$16+Calc_BNP!$B$8*(1+Assumptions!$C$13))</f>
        <v>0.75217859951427557</v>
      </c>
      <c r="C16" s="25">
        <f>(Calc_BNP!$B$10*(1+Assumptions!$C$12))/((Calc_BNP!$B$20+C$4*(1-Assumptions!$C$10)*Assumptions!$C$11)*Calc_BNP!$B$16+Calc_BNP!$B$8*(1+Assumptions!$C$13))</f>
        <v>0.72385163866836966</v>
      </c>
      <c r="D16" s="25">
        <f>(Calc_BNP!$B$10*(1+Assumptions!$C$12))/((Calc_BNP!$B$20+D$4*(1-Assumptions!$C$10)*Assumptions!$C$11)*Calc_BNP!$B$16+Calc_BNP!$B$8*(1+Assumptions!$C$13))</f>
        <v>0.69758082386809905</v>
      </c>
    </row>
    <row r="18" spans="1:4" x14ac:dyDescent="0.2">
      <c r="A18" s="9" t="s">
        <v>214</v>
      </c>
    </row>
    <row r="19" spans="1:4" x14ac:dyDescent="0.2">
      <c r="A19" t="s">
        <v>112</v>
      </c>
      <c r="B19" s="37">
        <f>((Calc_Deutsche!$B$20+B$4*(1-Assumptions!$D$10)*Assumptions!$D$11)*Calc_Deutsche!$B$16+Calc_Deutsche!$B$8*(1+Assumptions!$D$13)-Calc_Deutsche!$B$10*(1+Assumptions!$D$12))*(1-Calc_Deutsche!$B$21)</f>
        <v>6.8599688890285417</v>
      </c>
      <c r="C19" s="23">
        <f>((Calc_Deutsche!$B$20+C$4*(1-Assumptions!$D$10)*Assumptions!$D$11)*Calc_Deutsche!$B$16+Calc_Deutsche!$B$8*(1+Assumptions!$D$13)-Calc_Deutsche!$B$10*(1+Assumptions!$D$12))*(1-Calc_Deutsche!$B$21)</f>
        <v>7.9534948591948602</v>
      </c>
      <c r="D19" s="23">
        <f>((Calc_Deutsche!$B$20+D$4*(1-Assumptions!$D$10)*Assumptions!$D$11)*Calc_Deutsche!$B$16+Calc_Deutsche!$B$8*(1+Assumptions!$D$13)-Calc_Deutsche!$B$10*(1+Assumptions!$D$12))*(1-Calc_Deutsche!$B$21)</f>
        <v>9.0470208293611787</v>
      </c>
    </row>
    <row r="20" spans="1:4" x14ac:dyDescent="0.2">
      <c r="A20" t="s">
        <v>86</v>
      </c>
      <c r="B20" s="32">
        <f>B19/(Calc_Deutsche!$B$17+B19/2)</f>
        <v>8.4424168089587026E-2</v>
      </c>
      <c r="C20" s="25">
        <f>C19/(Calc_Deutsche!$B$17+C19/2)</f>
        <v>9.7227722895737001E-2</v>
      </c>
      <c r="D20" s="25">
        <f>D19/(Calc_Deutsche!$B$17+D19/2)</f>
        <v>0.10986125823704171</v>
      </c>
    </row>
    <row r="21" spans="1:4" x14ac:dyDescent="0.2">
      <c r="A21" t="s">
        <v>211</v>
      </c>
      <c r="B21" s="32">
        <f>Calc_Deutsche!$B$20+B$4*(1-Assumptions!$D$10)*Assumptions!$D$11</f>
        <v>8.227687865355323E-3</v>
      </c>
      <c r="C21" s="25">
        <f>Calc_Deutsche!$B$20+C$4*(1-Assumptions!$D$10)*Assumptions!$D$11</f>
        <v>9.4176878653553231E-3</v>
      </c>
      <c r="D21" s="25">
        <f>Calc_Deutsche!$B$20+D$4*(1-Assumptions!$D$10)*Assumptions!$D$11</f>
        <v>1.0607687865355323E-2</v>
      </c>
    </row>
    <row r="22" spans="1:4" x14ac:dyDescent="0.2">
      <c r="A22" t="s">
        <v>212</v>
      </c>
      <c r="B22" s="32">
        <f>(Calc_Deutsche!$B$10*(1+Assumptions!$D$12))/((Calc_Deutsche!$B$20+B$4*(1-Assumptions!$D$10)*Assumptions!$D$11)*Calc_Deutsche!$B$16+Calc_Deutsche!$B$8*(1+Assumptions!$D$13))</f>
        <v>0.63963152747390239</v>
      </c>
      <c r="C22" s="25">
        <f>(Calc_Deutsche!$B$10*(1+Assumptions!$D$12))/((Calc_Deutsche!$B$20+C$4*(1-Assumptions!$D$10)*Assumptions!$D$11)*Calc_Deutsche!$B$16+Calc_Deutsche!$B$8*(1+Assumptions!$D$13))</f>
        <v>0.6048838536384058</v>
      </c>
      <c r="D22" s="25">
        <f>(Calc_Deutsche!$B$10*(1+Assumptions!$D$12))/((Calc_Deutsche!$B$20+D$4*(1-Assumptions!$D$10)*Assumptions!$D$11)*Calc_Deutsche!$B$16+Calc_Deutsche!$B$8*(1+Assumptions!$D$13))</f>
        <v>0.57371695701144032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EB9A-729B-2841-AEF1-017822920D49}">
  <dimension ref="A1:F67"/>
  <sheetViews>
    <sheetView tabSelected="1" workbookViewId="0">
      <selection activeCell="D36" sqref="D36"/>
    </sheetView>
  </sheetViews>
  <sheetFormatPr baseColWidth="10" defaultRowHeight="16" x14ac:dyDescent="0.2"/>
  <sheetData>
    <row r="1" spans="1:5" ht="19" x14ac:dyDescent="0.25">
      <c r="A1" s="5" t="s">
        <v>253</v>
      </c>
    </row>
    <row r="2" spans="1:5" x14ac:dyDescent="0.2">
      <c r="A2" s="8" t="s">
        <v>215</v>
      </c>
    </row>
    <row r="4" spans="1:5" x14ac:dyDescent="0.2">
      <c r="A4" s="9" t="s">
        <v>216</v>
      </c>
    </row>
    <row r="5" spans="1:5" x14ac:dyDescent="0.2">
      <c r="A5" t="s">
        <v>0</v>
      </c>
      <c r="B5" t="s">
        <v>158</v>
      </c>
      <c r="C5" t="s">
        <v>155</v>
      </c>
      <c r="D5" t="s">
        <v>159</v>
      </c>
    </row>
    <row r="6" spans="1:5" x14ac:dyDescent="0.2">
      <c r="A6" t="s">
        <v>7</v>
      </c>
      <c r="B6">
        <f>Scenarios!B7</f>
        <v>6.8497217996999993</v>
      </c>
      <c r="C6">
        <f>Scenarios!C7</f>
        <v>7.9658279999999992</v>
      </c>
      <c r="D6">
        <f>Scenarios!D7</f>
        <v>9.081934200300001</v>
      </c>
    </row>
    <row r="7" spans="1:5" x14ac:dyDescent="0.2">
      <c r="A7" t="s">
        <v>8</v>
      </c>
      <c r="B7">
        <f>Scenarios!B13</f>
        <v>11.708767236600009</v>
      </c>
      <c r="C7">
        <f>Scenarios!C13</f>
        <v>13.557707100000002</v>
      </c>
      <c r="D7">
        <f>Scenarios!D13</f>
        <v>15.406646963400007</v>
      </c>
    </row>
    <row r="8" spans="1:5" x14ac:dyDescent="0.2">
      <c r="A8" t="s">
        <v>9</v>
      </c>
      <c r="B8">
        <f>Scenarios!B19</f>
        <v>6.8599688890285417</v>
      </c>
      <c r="C8">
        <f>Scenarios!C19</f>
        <v>7.9534948591948602</v>
      </c>
      <c r="D8">
        <f>Scenarios!D19</f>
        <v>9.0470208293611787</v>
      </c>
    </row>
    <row r="10" spans="1:5" x14ac:dyDescent="0.2">
      <c r="A10" s="9" t="s">
        <v>217</v>
      </c>
    </row>
    <row r="11" spans="1:5" x14ac:dyDescent="0.2">
      <c r="A11" t="s">
        <v>1</v>
      </c>
      <c r="B11" t="s">
        <v>7</v>
      </c>
      <c r="C11" t="s">
        <v>8</v>
      </c>
      <c r="D11" t="s">
        <v>9</v>
      </c>
      <c r="E11" t="s">
        <v>218</v>
      </c>
    </row>
    <row r="12" spans="1:5" x14ac:dyDescent="0.2">
      <c r="A12">
        <v>2022</v>
      </c>
      <c r="B12">
        <f>'ratios_summary'!D2</f>
        <v>8.6804000000000006</v>
      </c>
      <c r="C12">
        <f>'ratios_summary'!D5</f>
        <v>8.1228999999999996</v>
      </c>
      <c r="D12">
        <f>'ratios_summary'!D8</f>
        <v>7.8327999999999998</v>
      </c>
      <c r="E12">
        <v>10</v>
      </c>
    </row>
    <row r="13" spans="1:5" x14ac:dyDescent="0.2">
      <c r="A13">
        <v>2023</v>
      </c>
      <c r="B13">
        <f>'ratios_summary'!D3</f>
        <v>7.3857999999999997</v>
      </c>
      <c r="C13">
        <f>'ratios_summary'!D6</f>
        <v>8.8693000000000008</v>
      </c>
      <c r="D13">
        <f>'ratios_summary'!D9</f>
        <v>6.5321999999999996</v>
      </c>
      <c r="E13">
        <v>10</v>
      </c>
    </row>
    <row r="14" spans="1:5" x14ac:dyDescent="0.2">
      <c r="A14">
        <v>2024</v>
      </c>
      <c r="B14">
        <f>'ratios_summary'!D4</f>
        <v>8.7815999999999992</v>
      </c>
      <c r="C14">
        <f>'ratios_summary'!D7</f>
        <v>9.1214999999999993</v>
      </c>
      <c r="D14">
        <f>'ratios_summary'!D10</f>
        <v>4.3250000000000002</v>
      </c>
      <c r="E14">
        <v>10</v>
      </c>
    </row>
    <row r="16" spans="1:5" x14ac:dyDescent="0.2">
      <c r="A16" s="9" t="s">
        <v>219</v>
      </c>
    </row>
    <row r="17" spans="1:6" x14ac:dyDescent="0.2">
      <c r="A17" t="s">
        <v>1</v>
      </c>
      <c r="B17" t="s">
        <v>7</v>
      </c>
      <c r="C17" t="s">
        <v>8</v>
      </c>
      <c r="D17" t="s">
        <v>9</v>
      </c>
    </row>
    <row r="18" spans="1:6" x14ac:dyDescent="0.2">
      <c r="A18">
        <v>2022</v>
      </c>
      <c r="B18">
        <f>'ratios_summary'!C2</f>
        <v>0.69840000000000002</v>
      </c>
      <c r="C18">
        <f>'ratios_summary'!C5</f>
        <v>0.78580000000000005</v>
      </c>
      <c r="D18">
        <f>'ratios_summary'!C8</f>
        <v>1.0210999999999999</v>
      </c>
    </row>
    <row r="19" spans="1:6" x14ac:dyDescent="0.2">
      <c r="A19">
        <v>2023</v>
      </c>
      <c r="B19">
        <f>'ratios_summary'!C3</f>
        <v>0.86019999999999996</v>
      </c>
      <c r="C19">
        <f>'ratios_summary'!C6</f>
        <v>0.73540000000000005</v>
      </c>
      <c r="D19">
        <f>'ratios_summary'!C9</f>
        <v>1.0365</v>
      </c>
      <c r="F19" s="8" t="s">
        <v>215</v>
      </c>
    </row>
    <row r="20" spans="1:6" x14ac:dyDescent="0.2">
      <c r="A20">
        <v>2024</v>
      </c>
      <c r="B20">
        <f>'ratios_summary'!C4</f>
        <v>0.85209999999999997</v>
      </c>
      <c r="C20">
        <f>'ratios_summary'!C7</f>
        <v>0.7218</v>
      </c>
      <c r="D20">
        <f>'ratios_summary'!C10</f>
        <v>0.94179999999999997</v>
      </c>
      <c r="F20" s="8"/>
    </row>
    <row r="21" spans="1:6" x14ac:dyDescent="0.2">
      <c r="F21" s="8"/>
    </row>
    <row r="22" spans="1:6" x14ac:dyDescent="0.2">
      <c r="A22" s="9" t="s">
        <v>220</v>
      </c>
      <c r="F22" s="8"/>
    </row>
    <row r="23" spans="1:6" x14ac:dyDescent="0.2">
      <c r="A23" t="s">
        <v>0</v>
      </c>
      <c r="B23" t="s">
        <v>221</v>
      </c>
      <c r="C23" t="s">
        <v>222</v>
      </c>
      <c r="F23" s="8"/>
    </row>
    <row r="24" spans="1:6" x14ac:dyDescent="0.2">
      <c r="A24" t="s">
        <v>7</v>
      </c>
      <c r="B24">
        <f>'ratios_summary'!F4</f>
        <v>60.861600000000003</v>
      </c>
      <c r="C24">
        <v>70</v>
      </c>
      <c r="F24" s="8"/>
    </row>
    <row r="25" spans="1:6" x14ac:dyDescent="0.2">
      <c r="A25" t="s">
        <v>8</v>
      </c>
      <c r="B25">
        <f>'ratios_summary'!F7</f>
        <v>71.964500000000001</v>
      </c>
      <c r="C25">
        <v>70</v>
      </c>
      <c r="F25" s="8"/>
    </row>
    <row r="26" spans="1:6" x14ac:dyDescent="0.2">
      <c r="A26" t="s">
        <v>9</v>
      </c>
      <c r="B26">
        <f>'ratios_summary'!F10</f>
        <v>59.972700000000003</v>
      </c>
      <c r="C26">
        <v>70</v>
      </c>
      <c r="F26" s="8"/>
    </row>
    <row r="27" spans="1:6" x14ac:dyDescent="0.2">
      <c r="F27" s="8"/>
    </row>
    <row r="28" spans="1:6" x14ac:dyDescent="0.2">
      <c r="F28" s="8"/>
    </row>
    <row r="29" spans="1:6" x14ac:dyDescent="0.2">
      <c r="F29" s="8"/>
    </row>
    <row r="30" spans="1:6" x14ac:dyDescent="0.2">
      <c r="F30" s="8"/>
    </row>
    <row r="31" spans="1:6" x14ac:dyDescent="0.2">
      <c r="F31" s="8"/>
    </row>
    <row r="32" spans="1:6" x14ac:dyDescent="0.2">
      <c r="F32" s="8"/>
    </row>
    <row r="33" spans="6:6" x14ac:dyDescent="0.2">
      <c r="F33" s="8"/>
    </row>
    <row r="34" spans="6:6" x14ac:dyDescent="0.2">
      <c r="F34" s="8"/>
    </row>
    <row r="35" spans="6:6" x14ac:dyDescent="0.2">
      <c r="F35" s="8" t="s">
        <v>215</v>
      </c>
    </row>
    <row r="36" spans="6:6" x14ac:dyDescent="0.2">
      <c r="F36" s="8"/>
    </row>
    <row r="37" spans="6:6" x14ac:dyDescent="0.2">
      <c r="F37" s="8"/>
    </row>
    <row r="38" spans="6:6" x14ac:dyDescent="0.2">
      <c r="F38" s="8"/>
    </row>
    <row r="39" spans="6:6" x14ac:dyDescent="0.2">
      <c r="F39" s="8"/>
    </row>
    <row r="40" spans="6:6" x14ac:dyDescent="0.2">
      <c r="F40" s="8"/>
    </row>
    <row r="41" spans="6:6" x14ac:dyDescent="0.2">
      <c r="F41" s="8"/>
    </row>
    <row r="42" spans="6:6" x14ac:dyDescent="0.2">
      <c r="F42" s="8"/>
    </row>
    <row r="43" spans="6:6" x14ac:dyDescent="0.2">
      <c r="F43" s="8"/>
    </row>
    <row r="44" spans="6:6" x14ac:dyDescent="0.2">
      <c r="F44" s="8"/>
    </row>
    <row r="45" spans="6:6" x14ac:dyDescent="0.2">
      <c r="F45" s="8"/>
    </row>
    <row r="46" spans="6:6" x14ac:dyDescent="0.2">
      <c r="F46" s="8"/>
    </row>
    <row r="47" spans="6:6" x14ac:dyDescent="0.2">
      <c r="F47" s="8"/>
    </row>
    <row r="48" spans="6:6" x14ac:dyDescent="0.2">
      <c r="F48" s="8"/>
    </row>
    <row r="49" spans="6:6" x14ac:dyDescent="0.2">
      <c r="F49" s="8"/>
    </row>
    <row r="50" spans="6:6" x14ac:dyDescent="0.2">
      <c r="F50" s="8"/>
    </row>
    <row r="51" spans="6:6" x14ac:dyDescent="0.2">
      <c r="F51" s="8" t="s">
        <v>215</v>
      </c>
    </row>
    <row r="52" spans="6:6" x14ac:dyDescent="0.2">
      <c r="F52" s="8"/>
    </row>
    <row r="53" spans="6:6" x14ac:dyDescent="0.2">
      <c r="F53" s="8"/>
    </row>
    <row r="54" spans="6:6" x14ac:dyDescent="0.2">
      <c r="F54" s="8"/>
    </row>
    <row r="55" spans="6:6" x14ac:dyDescent="0.2">
      <c r="F55" s="8"/>
    </row>
    <row r="56" spans="6:6" x14ac:dyDescent="0.2">
      <c r="F56" s="8"/>
    </row>
    <row r="57" spans="6:6" x14ac:dyDescent="0.2">
      <c r="F57" s="8"/>
    </row>
    <row r="58" spans="6:6" x14ac:dyDescent="0.2">
      <c r="F58" s="8"/>
    </row>
    <row r="59" spans="6:6" x14ac:dyDescent="0.2">
      <c r="F59" s="8"/>
    </row>
    <row r="60" spans="6:6" x14ac:dyDescent="0.2">
      <c r="F60" s="8"/>
    </row>
    <row r="61" spans="6:6" x14ac:dyDescent="0.2">
      <c r="F61" s="8"/>
    </row>
    <row r="62" spans="6:6" x14ac:dyDescent="0.2">
      <c r="F62" s="8"/>
    </row>
    <row r="63" spans="6:6" x14ac:dyDescent="0.2">
      <c r="F63" s="8"/>
    </row>
    <row r="64" spans="6:6" x14ac:dyDescent="0.2">
      <c r="F64" s="8"/>
    </row>
    <row r="65" spans="6:6" x14ac:dyDescent="0.2">
      <c r="F65" s="8"/>
    </row>
    <row r="66" spans="6:6" x14ac:dyDescent="0.2">
      <c r="F66" s="8"/>
    </row>
    <row r="67" spans="6:6" x14ac:dyDescent="0.2">
      <c r="F67" s="8" t="s">
        <v>215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2306-A24A-8A4B-B192-3C17ABB28B72}">
  <dimension ref="A1:G10"/>
  <sheetViews>
    <sheetView workbookViewId="0"/>
  </sheetViews>
  <sheetFormatPr baseColWidth="10" defaultRowHeight="16" x14ac:dyDescent="0.2"/>
  <cols>
    <col min="1" max="1" width="13.33203125" bestFit="1" customWidth="1"/>
    <col min="2" max="2" width="7.33203125" bestFit="1" customWidth="1"/>
    <col min="3" max="3" width="10.1640625" bestFit="1" customWidth="1"/>
    <col min="4" max="4" width="10.33203125" bestFit="1" customWidth="1"/>
    <col min="5" max="5" width="10.5" bestFit="1" customWidth="1"/>
    <col min="6" max="6" width="19.5" bestFit="1" customWidth="1"/>
    <col min="7" max="7" width="16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>
        <v>2022</v>
      </c>
      <c r="C2">
        <v>0.69840000000000002</v>
      </c>
      <c r="D2">
        <v>8.6804000000000006</v>
      </c>
      <c r="E2">
        <v>0.3916</v>
      </c>
      <c r="F2">
        <v>60.257399999999997</v>
      </c>
      <c r="G2">
        <v>5.9279999999999999</v>
      </c>
    </row>
    <row r="3" spans="1:7" x14ac:dyDescent="0.2">
      <c r="A3" s="1" t="s">
        <v>7</v>
      </c>
      <c r="B3">
        <v>2023</v>
      </c>
      <c r="C3">
        <v>0.86019999999999996</v>
      </c>
      <c r="D3">
        <v>7.3857999999999997</v>
      </c>
      <c r="E3">
        <v>0.35589999999999999</v>
      </c>
      <c r="F3">
        <v>63.3431</v>
      </c>
      <c r="G3">
        <v>5.2590000000000003</v>
      </c>
    </row>
    <row r="4" spans="1:7" x14ac:dyDescent="0.2">
      <c r="A4" s="1" t="s">
        <v>7</v>
      </c>
      <c r="B4">
        <v>2024</v>
      </c>
      <c r="C4">
        <v>0.85209999999999997</v>
      </c>
      <c r="D4">
        <v>8.7815999999999992</v>
      </c>
      <c r="E4">
        <v>0.41539999999999999</v>
      </c>
      <c r="F4">
        <v>60.861600000000003</v>
      </c>
      <c r="G4">
        <v>6.3070000000000004</v>
      </c>
    </row>
    <row r="5" spans="1:7" x14ac:dyDescent="0.2">
      <c r="A5" s="1" t="s">
        <v>8</v>
      </c>
      <c r="B5">
        <v>2022</v>
      </c>
      <c r="C5">
        <v>0.78580000000000005</v>
      </c>
      <c r="D5">
        <v>8.1228999999999996</v>
      </c>
      <c r="E5">
        <v>0.36969999999999997</v>
      </c>
      <c r="F5">
        <v>72.872600000000006</v>
      </c>
      <c r="G5">
        <v>9.8480000000000008</v>
      </c>
    </row>
    <row r="6" spans="1:7" x14ac:dyDescent="0.2">
      <c r="A6" s="1" t="s">
        <v>8</v>
      </c>
      <c r="B6">
        <v>2023</v>
      </c>
      <c r="C6">
        <v>0.73540000000000005</v>
      </c>
      <c r="D6">
        <v>8.8693000000000008</v>
      </c>
      <c r="E6">
        <v>0.42349999999999999</v>
      </c>
      <c r="F6">
        <v>75.028000000000006</v>
      </c>
      <c r="G6">
        <v>10.975</v>
      </c>
    </row>
    <row r="7" spans="1:7" x14ac:dyDescent="0.2">
      <c r="A7" s="1" t="s">
        <v>8</v>
      </c>
      <c r="B7">
        <v>2024</v>
      </c>
      <c r="C7">
        <v>0.7218</v>
      </c>
      <c r="D7">
        <v>9.1214999999999993</v>
      </c>
      <c r="E7">
        <v>0.43209999999999998</v>
      </c>
      <c r="F7">
        <v>71.964500000000001</v>
      </c>
      <c r="G7">
        <v>11.688000000000001</v>
      </c>
    </row>
    <row r="8" spans="1:7" x14ac:dyDescent="0.2">
      <c r="A8" s="1" t="s">
        <v>9</v>
      </c>
      <c r="B8">
        <v>2022</v>
      </c>
      <c r="C8">
        <v>1.0210999999999999</v>
      </c>
      <c r="D8">
        <v>7.8327999999999998</v>
      </c>
      <c r="E8">
        <v>0.4133</v>
      </c>
      <c r="F8">
        <v>66.142700000000005</v>
      </c>
      <c r="G8">
        <v>5.5250000000000004</v>
      </c>
    </row>
    <row r="9" spans="1:7" x14ac:dyDescent="0.2">
      <c r="A9" s="1" t="s">
        <v>9</v>
      </c>
      <c r="B9">
        <v>2023</v>
      </c>
      <c r="C9">
        <v>1.0365</v>
      </c>
      <c r="D9">
        <v>6.5321999999999996</v>
      </c>
      <c r="E9">
        <v>0.36359999999999998</v>
      </c>
      <c r="F9">
        <v>63.068399999999997</v>
      </c>
      <c r="G9">
        <v>4.7720000000000002</v>
      </c>
    </row>
    <row r="10" spans="1:7" x14ac:dyDescent="0.2">
      <c r="A10" s="1" t="s">
        <v>9</v>
      </c>
      <c r="B10">
        <v>2024</v>
      </c>
      <c r="C10">
        <v>0.94179999999999997</v>
      </c>
      <c r="D10">
        <v>4.3250000000000002</v>
      </c>
      <c r="E10">
        <v>0.2427</v>
      </c>
      <c r="F10">
        <v>59.972700000000003</v>
      </c>
      <c r="G10">
        <v>3.3660000000000001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CA67-4BBD-FA4F-9C94-0149D8764EB2}">
  <dimension ref="A1:G10"/>
  <sheetViews>
    <sheetView workbookViewId="0"/>
  </sheetViews>
  <sheetFormatPr baseColWidth="10" defaultRowHeight="16" x14ac:dyDescent="0.2"/>
  <cols>
    <col min="1" max="1" width="13.33203125" bestFit="1" customWidth="1"/>
    <col min="2" max="2" width="16.83203125" bestFit="1" customWidth="1"/>
    <col min="3" max="3" width="10.1640625" bestFit="1" customWidth="1"/>
    <col min="4" max="4" width="16.83203125" bestFit="1" customWidth="1"/>
    <col min="5" max="5" width="10.33203125" bestFit="1" customWidth="1"/>
    <col min="6" max="6" width="20.33203125" bestFit="1" customWidth="1"/>
    <col min="7" max="7" width="19.83203125" bestFit="1" customWidth="1"/>
  </cols>
  <sheetData>
    <row r="1" spans="1:7" x14ac:dyDescent="0.2">
      <c r="A1" t="s">
        <v>0</v>
      </c>
      <c r="B1" t="s">
        <v>142</v>
      </c>
      <c r="C1" t="s">
        <v>2</v>
      </c>
      <c r="D1" t="s">
        <v>6</v>
      </c>
      <c r="E1" t="s">
        <v>3</v>
      </c>
      <c r="F1" t="s">
        <v>143</v>
      </c>
      <c r="G1" t="s">
        <v>144</v>
      </c>
    </row>
    <row r="2" spans="1:7" x14ac:dyDescent="0.2">
      <c r="A2" s="1" t="s">
        <v>7</v>
      </c>
      <c r="B2" s="1" t="s">
        <v>145</v>
      </c>
      <c r="C2">
        <v>0.60209999999999997</v>
      </c>
      <c r="D2">
        <v>2.5110000000000001</v>
      </c>
      <c r="E2">
        <v>3.5</v>
      </c>
      <c r="F2">
        <v>-3.7959999999999998</v>
      </c>
      <c r="G2">
        <v>-60.2</v>
      </c>
    </row>
    <row r="3" spans="1:7" x14ac:dyDescent="0.2">
      <c r="A3" s="1" t="s">
        <v>7</v>
      </c>
      <c r="B3" s="1" t="s">
        <v>146</v>
      </c>
      <c r="C3">
        <v>0.85209999999999997</v>
      </c>
      <c r="D3">
        <v>6.3070000000000004</v>
      </c>
      <c r="E3">
        <v>8.7799999999999994</v>
      </c>
      <c r="F3">
        <v>0</v>
      </c>
      <c r="G3">
        <v>0</v>
      </c>
    </row>
    <row r="4" spans="1:7" x14ac:dyDescent="0.2">
      <c r="A4" s="1" t="s">
        <v>7</v>
      </c>
      <c r="B4" s="1" t="s">
        <v>147</v>
      </c>
      <c r="C4">
        <v>1.1021000000000001</v>
      </c>
      <c r="D4">
        <v>10.103</v>
      </c>
      <c r="E4">
        <v>14.07</v>
      </c>
      <c r="F4">
        <v>3.7959999999999998</v>
      </c>
      <c r="G4">
        <v>60.2</v>
      </c>
    </row>
    <row r="5" spans="1:7" x14ac:dyDescent="0.2">
      <c r="A5" s="1" t="s">
        <v>8</v>
      </c>
      <c r="B5" s="1" t="s">
        <v>145</v>
      </c>
      <c r="C5">
        <v>0.4718</v>
      </c>
      <c r="D5">
        <v>4.9260000000000002</v>
      </c>
      <c r="E5">
        <v>3.84</v>
      </c>
      <c r="F5">
        <v>-6.7619999999999996</v>
      </c>
      <c r="G5">
        <v>-57.9</v>
      </c>
    </row>
    <row r="6" spans="1:7" x14ac:dyDescent="0.2">
      <c r="A6" s="1" t="s">
        <v>8</v>
      </c>
      <c r="B6" s="1" t="s">
        <v>146</v>
      </c>
      <c r="C6">
        <v>0.7218</v>
      </c>
      <c r="D6">
        <v>11.688000000000001</v>
      </c>
      <c r="E6">
        <v>9.1199999999999992</v>
      </c>
      <c r="F6">
        <v>0</v>
      </c>
      <c r="G6">
        <v>0</v>
      </c>
    </row>
    <row r="7" spans="1:7" x14ac:dyDescent="0.2">
      <c r="A7" s="1" t="s">
        <v>8</v>
      </c>
      <c r="B7" s="1" t="s">
        <v>147</v>
      </c>
      <c r="C7">
        <v>0.9718</v>
      </c>
      <c r="D7">
        <v>18.45</v>
      </c>
      <c r="E7">
        <v>14.4</v>
      </c>
      <c r="F7">
        <v>6.7619999999999996</v>
      </c>
      <c r="G7">
        <v>57.9</v>
      </c>
    </row>
    <row r="8" spans="1:7" x14ac:dyDescent="0.2">
      <c r="A8" s="1" t="s">
        <v>9</v>
      </c>
      <c r="B8" s="1" t="s">
        <v>145</v>
      </c>
      <c r="C8">
        <v>0.69179999999999997</v>
      </c>
      <c r="D8">
        <v>-0.10199999999999999</v>
      </c>
      <c r="E8">
        <v>-0.13</v>
      </c>
      <c r="F8">
        <v>-3.468</v>
      </c>
      <c r="G8">
        <v>-103</v>
      </c>
    </row>
    <row r="9" spans="1:7" x14ac:dyDescent="0.2">
      <c r="A9" s="1" t="s">
        <v>9</v>
      </c>
      <c r="B9" s="1" t="s">
        <v>146</v>
      </c>
      <c r="C9">
        <v>0.94179999999999997</v>
      </c>
      <c r="D9">
        <v>3.3660000000000001</v>
      </c>
      <c r="E9">
        <v>4.32</v>
      </c>
      <c r="F9">
        <v>0</v>
      </c>
      <c r="G9">
        <v>0</v>
      </c>
    </row>
    <row r="10" spans="1:7" x14ac:dyDescent="0.2">
      <c r="A10" s="1" t="s">
        <v>9</v>
      </c>
      <c r="B10" s="1" t="s">
        <v>147</v>
      </c>
      <c r="C10">
        <v>1.1918</v>
      </c>
      <c r="D10">
        <v>6.8339999999999996</v>
      </c>
      <c r="E10">
        <v>8.7799999999999994</v>
      </c>
      <c r="F10">
        <v>3.468</v>
      </c>
      <c r="G10">
        <v>103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DD81-C300-5543-AABC-6A560858DE34}">
  <dimension ref="A1:F42"/>
  <sheetViews>
    <sheetView workbookViewId="0"/>
  </sheetViews>
  <sheetFormatPr baseColWidth="10" defaultRowHeight="16" x14ac:dyDescent="0.2"/>
  <cols>
    <col min="1" max="1" width="50.83203125" bestFit="1" customWidth="1"/>
    <col min="2" max="3" width="17.83203125" bestFit="1" customWidth="1"/>
    <col min="4" max="5" width="13.6640625" bestFit="1" customWidth="1"/>
    <col min="6" max="6" width="12.33203125" bestFit="1" customWidth="1"/>
  </cols>
  <sheetData>
    <row r="1" spans="1:6" x14ac:dyDescent="0.2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</row>
    <row r="2" spans="1:6" x14ac:dyDescent="0.2">
      <c r="A2" s="1" t="s">
        <v>94</v>
      </c>
      <c r="B2" s="1">
        <v>-197889703.468651</v>
      </c>
      <c r="C2" s="1">
        <v>-91619141.588554993</v>
      </c>
      <c r="D2" s="1">
        <v>-160176000</v>
      </c>
      <c r="E2" s="1">
        <v>-255596000</v>
      </c>
      <c r="F2" s="1"/>
    </row>
    <row r="3" spans="1:6" x14ac:dyDescent="0.2">
      <c r="A3" s="1" t="s">
        <v>95</v>
      </c>
      <c r="B3" s="1">
        <v>0.21074499999999999</v>
      </c>
      <c r="C3" s="1">
        <v>0.216083</v>
      </c>
      <c r="D3" s="1">
        <v>0.188</v>
      </c>
      <c r="E3" s="1">
        <v>0.14799999999999999</v>
      </c>
      <c r="F3" s="1"/>
    </row>
    <row r="4" spans="1:6" x14ac:dyDescent="0.2">
      <c r="A4" s="1" t="s">
        <v>96</v>
      </c>
      <c r="B4" s="1">
        <v>-939000000</v>
      </c>
      <c r="C4" s="1">
        <v>-424000000</v>
      </c>
      <c r="D4" s="1">
        <v>-852000000</v>
      </c>
      <c r="E4" s="1">
        <v>-1727000000</v>
      </c>
      <c r="F4" s="1"/>
    </row>
    <row r="5" spans="1:6" x14ac:dyDescent="0.2">
      <c r="A5" s="1" t="s">
        <v>97</v>
      </c>
      <c r="B5" s="1">
        <v>-939000000</v>
      </c>
      <c r="C5" s="1">
        <v>-424000000</v>
      </c>
      <c r="D5" s="1">
        <v>-852000000</v>
      </c>
      <c r="E5" s="1">
        <v>-1727000000</v>
      </c>
      <c r="F5" s="1"/>
    </row>
    <row r="6" spans="1:6" x14ac:dyDescent="0.2">
      <c r="A6" s="1" t="s">
        <v>98</v>
      </c>
      <c r="B6" s="1">
        <v>7172000000</v>
      </c>
      <c r="C6" s="1">
        <v>6307000000</v>
      </c>
      <c r="D6" s="1">
        <v>5259000000</v>
      </c>
      <c r="E6" s="1">
        <v>5928000000</v>
      </c>
      <c r="F6" s="1"/>
    </row>
    <row r="7" spans="1:6" x14ac:dyDescent="0.2">
      <c r="A7" s="1" t="s">
        <v>99</v>
      </c>
      <c r="B7" s="1">
        <v>1756000000</v>
      </c>
      <c r="C7" s="1">
        <v>1700000000</v>
      </c>
      <c r="D7" s="1">
        <v>1784000000</v>
      </c>
      <c r="E7" s="1">
        <v>1723000000</v>
      </c>
      <c r="F7" s="1"/>
    </row>
    <row r="8" spans="1:6" x14ac:dyDescent="0.2">
      <c r="A8" s="1" t="s">
        <v>100</v>
      </c>
      <c r="B8" s="1">
        <v>14501000000</v>
      </c>
      <c r="C8" s="1">
        <v>12936000000</v>
      </c>
      <c r="D8" s="1">
        <v>12709000000</v>
      </c>
      <c r="E8" s="1">
        <v>10572000000</v>
      </c>
      <c r="F8" s="1"/>
    </row>
    <row r="9" spans="1:6" x14ac:dyDescent="0.2">
      <c r="A9" s="1" t="s">
        <v>101</v>
      </c>
      <c r="B9" s="1">
        <v>21688000000</v>
      </c>
      <c r="C9" s="1">
        <v>25390000000</v>
      </c>
      <c r="D9" s="1">
        <v>22366000000</v>
      </c>
      <c r="E9" s="1">
        <v>8524000000</v>
      </c>
      <c r="F9" s="1"/>
    </row>
    <row r="10" spans="1:6" x14ac:dyDescent="0.2">
      <c r="A10" s="1" t="s">
        <v>102</v>
      </c>
      <c r="B10" s="1">
        <v>36189000000</v>
      </c>
      <c r="C10" s="1">
        <v>38326000000</v>
      </c>
      <c r="D10" s="1">
        <v>35075000000</v>
      </c>
      <c r="E10" s="1">
        <v>19096000000</v>
      </c>
      <c r="F10" s="1"/>
    </row>
    <row r="11" spans="1:6" x14ac:dyDescent="0.2">
      <c r="A11" s="1" t="s">
        <v>103</v>
      </c>
      <c r="B11" s="1">
        <v>7913110296.5313396</v>
      </c>
      <c r="C11" s="1">
        <v>6639380858.4114399</v>
      </c>
      <c r="D11" s="1">
        <v>5950824000</v>
      </c>
      <c r="E11" s="1">
        <v>7399404000</v>
      </c>
      <c r="F11" s="1"/>
    </row>
    <row r="12" spans="1:6" x14ac:dyDescent="0.2">
      <c r="A12" s="1" t="s">
        <v>104</v>
      </c>
      <c r="B12" s="1">
        <v>7172000000</v>
      </c>
      <c r="C12" s="1">
        <v>6307000000</v>
      </c>
      <c r="D12" s="1">
        <v>5259000000</v>
      </c>
      <c r="E12" s="1">
        <v>5928000000</v>
      </c>
      <c r="F12" s="1"/>
    </row>
    <row r="13" spans="1:6" x14ac:dyDescent="0.2">
      <c r="A13" s="1" t="s">
        <v>105</v>
      </c>
      <c r="B13" s="1">
        <v>14604000000</v>
      </c>
      <c r="C13" s="1">
        <v>15271000000</v>
      </c>
      <c r="D13" s="1">
        <v>15895000000</v>
      </c>
      <c r="E13" s="1">
        <v>16867000000</v>
      </c>
      <c r="F13" s="1"/>
    </row>
    <row r="14" spans="1:6" x14ac:dyDescent="0.2">
      <c r="A14" s="1" t="s">
        <v>106</v>
      </c>
      <c r="B14" s="1">
        <v>14112000000</v>
      </c>
      <c r="C14" s="1">
        <v>14755000000</v>
      </c>
      <c r="D14" s="1">
        <v>15445000000</v>
      </c>
      <c r="E14" s="1">
        <v>16333000000</v>
      </c>
      <c r="F14" s="1"/>
    </row>
    <row r="15" spans="1:6" x14ac:dyDescent="0.2">
      <c r="A15" s="1" t="s">
        <v>107</v>
      </c>
      <c r="B15" s="1">
        <v>0.42299999999999999</v>
      </c>
      <c r="C15" s="1">
        <v>0.34799999999999998</v>
      </c>
      <c r="D15" s="1">
        <v>0.26900000000000002</v>
      </c>
      <c r="E15" s="1">
        <v>0.29799999999999999</v>
      </c>
      <c r="F15" s="1"/>
    </row>
    <row r="16" spans="1:6" x14ac:dyDescent="0.2">
      <c r="A16" s="1" t="s">
        <v>108</v>
      </c>
      <c r="B16" s="1">
        <v>0.438</v>
      </c>
      <c r="C16" s="1">
        <v>0.36</v>
      </c>
      <c r="D16" s="1">
        <v>0.27700000000000002</v>
      </c>
      <c r="E16" s="1">
        <v>0.308</v>
      </c>
      <c r="F16" s="1"/>
    </row>
    <row r="17" spans="1:6" x14ac:dyDescent="0.2">
      <c r="A17" s="1" t="s">
        <v>109</v>
      </c>
      <c r="B17" s="1">
        <v>6175000000</v>
      </c>
      <c r="C17" s="1">
        <v>5316000000</v>
      </c>
      <c r="D17" s="1">
        <v>4274000000</v>
      </c>
      <c r="E17" s="1">
        <v>5023000000</v>
      </c>
      <c r="F17" s="1"/>
    </row>
    <row r="18" spans="1:6" x14ac:dyDescent="0.2">
      <c r="A18" s="1" t="s">
        <v>110</v>
      </c>
      <c r="B18" s="1">
        <v>6175000000</v>
      </c>
      <c r="C18" s="1">
        <v>5316000000</v>
      </c>
      <c r="D18" s="1">
        <v>4274000000</v>
      </c>
      <c r="E18" s="1">
        <v>5023000000</v>
      </c>
      <c r="F18" s="1"/>
    </row>
    <row r="19" spans="1:6" x14ac:dyDescent="0.2">
      <c r="A19" s="1" t="s">
        <v>111</v>
      </c>
      <c r="B19" s="1">
        <v>997000000</v>
      </c>
      <c r="C19" s="1">
        <v>991000000</v>
      </c>
      <c r="D19" s="1">
        <v>985000000</v>
      </c>
      <c r="E19" s="1">
        <v>905000000</v>
      </c>
      <c r="F19" s="1"/>
    </row>
    <row r="20" spans="1:6" x14ac:dyDescent="0.2">
      <c r="A20" s="1" t="s">
        <v>112</v>
      </c>
      <c r="B20" s="1">
        <v>7172000000</v>
      </c>
      <c r="C20" s="1">
        <v>6307000000</v>
      </c>
      <c r="D20" s="1">
        <v>5259000000</v>
      </c>
      <c r="E20" s="1">
        <v>5928000000</v>
      </c>
      <c r="F20" s="1"/>
    </row>
    <row r="21" spans="1:6" x14ac:dyDescent="0.2">
      <c r="A21" s="1" t="s">
        <v>113</v>
      </c>
      <c r="B21" s="1">
        <v>-41000000</v>
      </c>
      <c r="C21" s="1">
        <v>-49000000</v>
      </c>
      <c r="D21" s="1">
        <v>-64000000</v>
      </c>
      <c r="E21" s="1">
        <v>-45000000</v>
      </c>
      <c r="F21" s="1"/>
    </row>
    <row r="22" spans="1:6" x14ac:dyDescent="0.2">
      <c r="A22" s="1" t="s">
        <v>114</v>
      </c>
      <c r="B22" s="1">
        <v>7213000000</v>
      </c>
      <c r="C22" s="1">
        <v>6356000000</v>
      </c>
      <c r="D22" s="1">
        <v>5323000000</v>
      </c>
      <c r="E22" s="1">
        <v>5973000000</v>
      </c>
      <c r="F22" s="1"/>
    </row>
    <row r="23" spans="1:6" x14ac:dyDescent="0.2">
      <c r="A23" s="1" t="s">
        <v>115</v>
      </c>
      <c r="B23" s="1"/>
      <c r="C23" s="1"/>
      <c r="D23" s="1"/>
      <c r="E23" s="1"/>
      <c r="F23" s="1">
        <v>-804000000</v>
      </c>
    </row>
    <row r="24" spans="1:6" x14ac:dyDescent="0.2">
      <c r="A24" s="1" t="s">
        <v>116</v>
      </c>
      <c r="B24" s="1">
        <v>7213000000</v>
      </c>
      <c r="C24" s="1">
        <v>6356000000</v>
      </c>
      <c r="D24" s="1">
        <v>5323000000</v>
      </c>
      <c r="E24" s="1">
        <v>5973000000</v>
      </c>
      <c r="F24" s="1"/>
    </row>
    <row r="25" spans="1:6" x14ac:dyDescent="0.2">
      <c r="A25" s="1" t="s">
        <v>117</v>
      </c>
      <c r="B25" s="1">
        <v>1926000000</v>
      </c>
      <c r="C25" s="1">
        <v>1752000000</v>
      </c>
      <c r="D25" s="1">
        <v>1234000000</v>
      </c>
      <c r="E25" s="1">
        <v>1039000000</v>
      </c>
      <c r="F25" s="1"/>
    </row>
    <row r="26" spans="1:6" x14ac:dyDescent="0.2">
      <c r="A26" s="1" t="s">
        <v>118</v>
      </c>
      <c r="B26" s="1">
        <v>9139000000</v>
      </c>
      <c r="C26" s="1">
        <v>8108000000</v>
      </c>
      <c r="D26" s="1">
        <v>6557000000</v>
      </c>
      <c r="E26" s="1">
        <v>7012000000</v>
      </c>
      <c r="F26" s="1"/>
    </row>
    <row r="27" spans="1:6" x14ac:dyDescent="0.2">
      <c r="A27" s="1" t="s">
        <v>119</v>
      </c>
      <c r="B27" s="1">
        <v>-939000000</v>
      </c>
      <c r="C27" s="1">
        <v>-424000000</v>
      </c>
      <c r="D27" s="1">
        <v>-852000000</v>
      </c>
      <c r="E27" s="1">
        <v>-1727000000</v>
      </c>
      <c r="F27" s="1"/>
    </row>
    <row r="28" spans="1:6" x14ac:dyDescent="0.2">
      <c r="A28" s="1" t="s">
        <v>120</v>
      </c>
      <c r="B28" s="1">
        <v>720000000</v>
      </c>
      <c r="C28" s="1">
        <v>502000000</v>
      </c>
      <c r="D28" s="1">
        <v>37000000</v>
      </c>
      <c r="E28" s="1">
        <v>1671000000</v>
      </c>
      <c r="F28" s="1"/>
    </row>
    <row r="29" spans="1:6" x14ac:dyDescent="0.2">
      <c r="A29" s="1" t="s">
        <v>121</v>
      </c>
      <c r="B29" s="1">
        <v>20000000</v>
      </c>
      <c r="C29" s="1">
        <v>34000000</v>
      </c>
      <c r="D29" s="1">
        <v>363000000</v>
      </c>
      <c r="E29" s="1">
        <v>63000000</v>
      </c>
      <c r="F29" s="1"/>
    </row>
    <row r="30" spans="1:6" x14ac:dyDescent="0.2">
      <c r="A30" s="1" t="s">
        <v>122</v>
      </c>
      <c r="B30" s="1">
        <v>199000000</v>
      </c>
      <c r="C30" s="1">
        <v>-112000000</v>
      </c>
      <c r="D30" s="1">
        <v>452000000</v>
      </c>
      <c r="E30" s="1">
        <v>-7000000</v>
      </c>
      <c r="F30" s="1"/>
    </row>
    <row r="31" spans="1:6" x14ac:dyDescent="0.2">
      <c r="A31" s="1" t="s">
        <v>123</v>
      </c>
      <c r="B31" s="1">
        <v>10000000</v>
      </c>
      <c r="C31" s="1">
        <v>433000000</v>
      </c>
      <c r="D31" s="1">
        <v>61000000</v>
      </c>
      <c r="E31" s="1">
        <v>-391000000</v>
      </c>
      <c r="F31" s="1"/>
    </row>
    <row r="32" spans="1:6" x14ac:dyDescent="0.2">
      <c r="A32" s="1" t="s">
        <v>124</v>
      </c>
      <c r="B32" s="1">
        <v>16849000000</v>
      </c>
      <c r="C32" s="1">
        <v>15964000000</v>
      </c>
      <c r="D32" s="1">
        <v>16079000000</v>
      </c>
      <c r="E32" s="1">
        <v>15077000000</v>
      </c>
      <c r="F32" s="1"/>
    </row>
    <row r="33" spans="1:6" x14ac:dyDescent="0.2">
      <c r="A33" s="1" t="s">
        <v>125</v>
      </c>
      <c r="B33" s="1">
        <v>28000000</v>
      </c>
      <c r="C33" s="1">
        <v>38000000</v>
      </c>
      <c r="D33" s="1">
        <v>180000000</v>
      </c>
      <c r="E33" s="1">
        <v>176000000</v>
      </c>
      <c r="F33" s="1"/>
    </row>
    <row r="34" spans="1:6" x14ac:dyDescent="0.2">
      <c r="A34" s="1" t="s">
        <v>126</v>
      </c>
      <c r="B34" s="1">
        <v>1756000000</v>
      </c>
      <c r="C34" s="1">
        <v>1700000000</v>
      </c>
      <c r="D34" s="1">
        <v>1784000000</v>
      </c>
      <c r="E34" s="1">
        <v>1723000000</v>
      </c>
      <c r="F34" s="1"/>
    </row>
    <row r="35" spans="1:6" x14ac:dyDescent="0.2">
      <c r="A35" s="1" t="s">
        <v>127</v>
      </c>
      <c r="B35" s="1">
        <v>1756000000</v>
      </c>
      <c r="C35" s="1">
        <v>1700000000</v>
      </c>
      <c r="D35" s="1">
        <v>1784000000</v>
      </c>
      <c r="E35" s="1">
        <v>1723000000</v>
      </c>
      <c r="F35" s="1"/>
    </row>
    <row r="36" spans="1:6" x14ac:dyDescent="0.2">
      <c r="A36" s="1" t="s">
        <v>128</v>
      </c>
      <c r="B36" s="1">
        <v>2729000000</v>
      </c>
      <c r="C36" s="1">
        <v>2770000000</v>
      </c>
      <c r="D36" s="1">
        <v>2602000000</v>
      </c>
      <c r="E36" s="1">
        <v>2270000000</v>
      </c>
      <c r="F36" s="1"/>
    </row>
    <row r="37" spans="1:6" x14ac:dyDescent="0.2">
      <c r="A37" s="1" t="s">
        <v>129</v>
      </c>
      <c r="B37" s="1">
        <v>618000000</v>
      </c>
      <c r="C37" s="1">
        <v>649000000</v>
      </c>
      <c r="D37" s="1">
        <v>585000000</v>
      </c>
      <c r="E37" s="1">
        <v>500000000</v>
      </c>
      <c r="F37" s="1"/>
    </row>
    <row r="38" spans="1:6" x14ac:dyDescent="0.2">
      <c r="A38" s="1" t="s">
        <v>130</v>
      </c>
      <c r="B38" s="1">
        <v>2111000000</v>
      </c>
      <c r="C38" s="1">
        <v>2121000000</v>
      </c>
      <c r="D38" s="1">
        <v>2017000000</v>
      </c>
      <c r="E38" s="1">
        <v>1770000000</v>
      </c>
      <c r="F38" s="1"/>
    </row>
    <row r="39" spans="1:6" x14ac:dyDescent="0.2">
      <c r="A39" s="1" t="s">
        <v>131</v>
      </c>
      <c r="B39" s="1">
        <v>1928000000</v>
      </c>
      <c r="C39" s="1">
        <v>1815000000</v>
      </c>
      <c r="D39" s="1">
        <v>1948000000</v>
      </c>
      <c r="E39" s="1">
        <v>1649000000</v>
      </c>
      <c r="F39" s="1"/>
    </row>
    <row r="40" spans="1:6" x14ac:dyDescent="0.2">
      <c r="A40" s="1" t="s">
        <v>89</v>
      </c>
      <c r="B40" s="1">
        <v>29140000000</v>
      </c>
      <c r="C40" s="1">
        <v>26230000000</v>
      </c>
      <c r="D40" s="1">
        <v>25384000000</v>
      </c>
      <c r="E40" s="1">
        <v>25021000000</v>
      </c>
      <c r="F40" s="1"/>
    </row>
    <row r="41" spans="1:6" x14ac:dyDescent="0.2">
      <c r="A41" s="1" t="s">
        <v>132</v>
      </c>
      <c r="B41" s="1">
        <v>29140000000</v>
      </c>
      <c r="C41" s="1">
        <v>26230000000</v>
      </c>
      <c r="D41" s="1">
        <v>25384000000</v>
      </c>
      <c r="E41" s="1">
        <v>25021000000</v>
      </c>
      <c r="F41" s="1"/>
    </row>
    <row r="42" spans="1:6" x14ac:dyDescent="0.2">
      <c r="A42" s="1"/>
      <c r="B42" s="1"/>
      <c r="C42" s="1"/>
      <c r="D42" s="1"/>
      <c r="E42" s="1"/>
      <c r="F4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0458-5BB3-384C-925C-D67E4D9BF802}">
  <dimension ref="A1:F43"/>
  <sheetViews>
    <sheetView workbookViewId="0"/>
  </sheetViews>
  <sheetFormatPr baseColWidth="10" defaultRowHeight="16" x14ac:dyDescent="0.2"/>
  <cols>
    <col min="1" max="1" width="50.83203125" bestFit="1" customWidth="1"/>
    <col min="2" max="5" width="13.6640625" bestFit="1" customWidth="1"/>
    <col min="6" max="6" width="12.6640625" bestFit="1" customWidth="1"/>
  </cols>
  <sheetData>
    <row r="1" spans="1:6" x14ac:dyDescent="0.2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</row>
    <row r="2" spans="1:6" x14ac:dyDescent="0.2">
      <c r="A2" s="1" t="s">
        <v>94</v>
      </c>
      <c r="B2" s="1">
        <v>14245000</v>
      </c>
      <c r="C2" s="1">
        <v>19912000</v>
      </c>
      <c r="D2" s="1">
        <v>-7325000</v>
      </c>
      <c r="E2" s="1">
        <v>28512000</v>
      </c>
      <c r="F2" s="1"/>
    </row>
    <row r="3" spans="1:6" x14ac:dyDescent="0.2">
      <c r="A3" s="1" t="s">
        <v>95</v>
      </c>
      <c r="B3" s="1">
        <v>0.25900000000000001</v>
      </c>
      <c r="C3" s="1">
        <v>0.26200000000000001</v>
      </c>
      <c r="D3" s="1">
        <v>0.29299999999999998</v>
      </c>
      <c r="E3" s="1">
        <v>0.29699999999999999</v>
      </c>
      <c r="F3" s="1"/>
    </row>
    <row r="4" spans="1:6" x14ac:dyDescent="0.2">
      <c r="A4" s="1" t="s">
        <v>96</v>
      </c>
      <c r="B4" s="1">
        <v>55000000</v>
      </c>
      <c r="C4" s="1">
        <v>76000000</v>
      </c>
      <c r="D4" s="1">
        <v>-25000000</v>
      </c>
      <c r="E4" s="1">
        <v>96000000</v>
      </c>
      <c r="F4" s="1"/>
    </row>
    <row r="5" spans="1:6" x14ac:dyDescent="0.2">
      <c r="A5" s="1" t="s">
        <v>97</v>
      </c>
      <c r="B5" s="1">
        <v>55000000</v>
      </c>
      <c r="C5" s="1">
        <v>76000000</v>
      </c>
      <c r="D5" s="1">
        <v>-25000000</v>
      </c>
      <c r="E5" s="1">
        <v>96000000</v>
      </c>
      <c r="F5" s="1"/>
    </row>
    <row r="6" spans="1:6" x14ac:dyDescent="0.2">
      <c r="A6" s="1" t="s">
        <v>98</v>
      </c>
      <c r="B6" s="1">
        <v>12225000000</v>
      </c>
      <c r="C6" s="1">
        <v>11688000000</v>
      </c>
      <c r="D6" s="1">
        <v>8028000000</v>
      </c>
      <c r="E6" s="1">
        <v>9161000000</v>
      </c>
      <c r="F6" s="1"/>
    </row>
    <row r="7" spans="1:6" x14ac:dyDescent="0.2">
      <c r="A7" s="1" t="s">
        <v>99</v>
      </c>
      <c r="B7" s="1">
        <v>8055000000</v>
      </c>
      <c r="C7" s="1">
        <v>7272000000</v>
      </c>
      <c r="D7" s="1">
        <v>6245000000</v>
      </c>
      <c r="E7" s="1">
        <v>6465000000</v>
      </c>
      <c r="F7" s="1"/>
    </row>
    <row r="8" spans="1:6" x14ac:dyDescent="0.2">
      <c r="A8" s="1" t="s">
        <v>100</v>
      </c>
      <c r="B8" s="1">
        <v>21203000000</v>
      </c>
      <c r="C8" s="1">
        <v>19524000000</v>
      </c>
      <c r="D8" s="1">
        <v>19058000000</v>
      </c>
      <c r="E8" s="1">
        <v>20933000000</v>
      </c>
      <c r="F8" s="1"/>
    </row>
    <row r="9" spans="1:6" x14ac:dyDescent="0.2">
      <c r="A9" s="1" t="s">
        <v>101</v>
      </c>
      <c r="B9" s="1">
        <v>50329000000</v>
      </c>
      <c r="C9" s="1">
        <v>63496000000</v>
      </c>
      <c r="D9" s="1">
        <v>60484000000</v>
      </c>
      <c r="E9" s="1">
        <v>20149000000</v>
      </c>
      <c r="F9" s="1"/>
    </row>
    <row r="10" spans="1:6" x14ac:dyDescent="0.2">
      <c r="A10" s="1" t="s">
        <v>102</v>
      </c>
      <c r="B10" s="1">
        <v>71532000000</v>
      </c>
      <c r="C10" s="1">
        <v>83020000000</v>
      </c>
      <c r="D10" s="1">
        <v>79542000000</v>
      </c>
      <c r="E10" s="1">
        <v>41082000000</v>
      </c>
      <c r="F10" s="1"/>
    </row>
    <row r="11" spans="1:6" x14ac:dyDescent="0.2">
      <c r="A11" s="1" t="s">
        <v>103</v>
      </c>
      <c r="B11" s="1">
        <v>12184245000</v>
      </c>
      <c r="C11" s="1">
        <v>11631912000</v>
      </c>
      <c r="D11" s="1">
        <v>8045675000</v>
      </c>
      <c r="E11" s="1">
        <v>9121512000</v>
      </c>
      <c r="F11" s="1"/>
    </row>
    <row r="12" spans="1:6" x14ac:dyDescent="0.2">
      <c r="A12" s="1" t="s">
        <v>104</v>
      </c>
      <c r="B12" s="1">
        <v>12225000000</v>
      </c>
      <c r="C12" s="1">
        <v>11688000000</v>
      </c>
      <c r="D12" s="1">
        <v>10975000000</v>
      </c>
      <c r="E12" s="1">
        <v>9848000000</v>
      </c>
      <c r="F12" s="1"/>
    </row>
    <row r="13" spans="1:6" x14ac:dyDescent="0.2">
      <c r="A13" s="1" t="s">
        <v>105</v>
      </c>
      <c r="B13" s="1">
        <v>1188046647</v>
      </c>
      <c r="C13" s="1">
        <v>1133302357</v>
      </c>
      <c r="D13" s="1">
        <v>1200367337</v>
      </c>
      <c r="E13" s="1">
        <v>1232991607</v>
      </c>
      <c r="F13" s="1"/>
    </row>
    <row r="14" spans="1:6" x14ac:dyDescent="0.2">
      <c r="A14" s="1" t="s">
        <v>106</v>
      </c>
      <c r="B14" s="1">
        <v>1188046647</v>
      </c>
      <c r="C14" s="1">
        <v>1133302357</v>
      </c>
      <c r="D14" s="1">
        <v>1200367337</v>
      </c>
      <c r="E14" s="1">
        <v>1232991607</v>
      </c>
      <c r="F14" s="1"/>
    </row>
    <row r="15" spans="1:6" x14ac:dyDescent="0.2">
      <c r="A15" s="1" t="s">
        <v>107</v>
      </c>
      <c r="B15" s="1">
        <v>10.29</v>
      </c>
      <c r="C15" s="1">
        <v>9.57</v>
      </c>
      <c r="D15" s="1">
        <v>8.58</v>
      </c>
      <c r="E15" s="1">
        <v>7.52</v>
      </c>
      <c r="F15" s="1"/>
    </row>
    <row r="16" spans="1:6" x14ac:dyDescent="0.2">
      <c r="A16" s="1" t="s">
        <v>108</v>
      </c>
      <c r="B16" s="1">
        <v>10.29</v>
      </c>
      <c r="C16" s="1">
        <v>9.57</v>
      </c>
      <c r="D16" s="1">
        <v>8.58</v>
      </c>
      <c r="E16" s="1">
        <v>7.52</v>
      </c>
      <c r="F16" s="1"/>
    </row>
    <row r="17" spans="1:6" x14ac:dyDescent="0.2">
      <c r="A17" s="1" t="s">
        <v>109</v>
      </c>
      <c r="B17" s="1">
        <v>11520000000</v>
      </c>
      <c r="C17" s="1">
        <v>10843000000</v>
      </c>
      <c r="D17" s="1">
        <v>10298000000</v>
      </c>
      <c r="E17" s="1">
        <v>9273000000</v>
      </c>
      <c r="F17" s="1"/>
    </row>
    <row r="18" spans="1:6" x14ac:dyDescent="0.2">
      <c r="A18" s="1" t="s">
        <v>110</v>
      </c>
      <c r="B18" s="1">
        <v>11520000000</v>
      </c>
      <c r="C18" s="1">
        <v>10843000000</v>
      </c>
      <c r="D18" s="1">
        <v>10298000000</v>
      </c>
      <c r="E18" s="1">
        <v>9273000000</v>
      </c>
      <c r="F18" s="1"/>
    </row>
    <row r="19" spans="1:6" x14ac:dyDescent="0.2">
      <c r="A19" s="1" t="s">
        <v>111</v>
      </c>
      <c r="B19" s="1">
        <v>705000000</v>
      </c>
      <c r="C19" s="1">
        <v>845000000</v>
      </c>
      <c r="D19" s="1">
        <v>677000000</v>
      </c>
      <c r="E19" s="1">
        <v>575000000</v>
      </c>
      <c r="F19" s="1"/>
    </row>
    <row r="20" spans="1:6" x14ac:dyDescent="0.2">
      <c r="A20" s="1" t="s">
        <v>112</v>
      </c>
      <c r="B20" s="1">
        <v>12225000000</v>
      </c>
      <c r="C20" s="1">
        <v>11688000000</v>
      </c>
      <c r="D20" s="1">
        <v>10975000000</v>
      </c>
      <c r="E20" s="1">
        <v>9848000000</v>
      </c>
      <c r="F20" s="1"/>
    </row>
    <row r="21" spans="1:6" x14ac:dyDescent="0.2">
      <c r="A21" s="1" t="s">
        <v>113</v>
      </c>
      <c r="B21" s="1">
        <v>-633000000</v>
      </c>
      <c r="C21" s="1">
        <v>-499000000</v>
      </c>
      <c r="D21" s="1">
        <v>-431000000</v>
      </c>
      <c r="E21" s="1">
        <v>-400000000</v>
      </c>
      <c r="F21" s="1"/>
    </row>
    <row r="22" spans="1:6" x14ac:dyDescent="0.2">
      <c r="A22" s="1" t="s">
        <v>114</v>
      </c>
      <c r="B22" s="1">
        <v>12858000000</v>
      </c>
      <c r="C22" s="1">
        <v>12187000000</v>
      </c>
      <c r="D22" s="1">
        <v>11406000000</v>
      </c>
      <c r="E22" s="1">
        <v>10248000000</v>
      </c>
      <c r="F22" s="1"/>
    </row>
    <row r="23" spans="1:6" x14ac:dyDescent="0.2">
      <c r="A23" s="1" t="s">
        <v>133</v>
      </c>
      <c r="B23" s="1"/>
      <c r="C23" s="1">
        <v>0</v>
      </c>
      <c r="D23" s="1">
        <v>2947000000</v>
      </c>
      <c r="E23" s="1">
        <v>687000000</v>
      </c>
      <c r="F23" s="1">
        <v>720000000</v>
      </c>
    </row>
    <row r="24" spans="1:6" x14ac:dyDescent="0.2">
      <c r="A24" s="1" t="s">
        <v>116</v>
      </c>
      <c r="B24" s="1">
        <v>12858000000</v>
      </c>
      <c r="C24" s="1">
        <v>12187000000</v>
      </c>
      <c r="D24" s="1">
        <v>8459000000</v>
      </c>
      <c r="E24" s="1">
        <v>9561000000</v>
      </c>
      <c r="F24" s="1"/>
    </row>
    <row r="25" spans="1:6" x14ac:dyDescent="0.2">
      <c r="A25" s="1" t="s">
        <v>117</v>
      </c>
      <c r="B25" s="1">
        <v>4207000000</v>
      </c>
      <c r="C25" s="1">
        <v>4001000000</v>
      </c>
      <c r="D25" s="1">
        <v>3266000000</v>
      </c>
      <c r="E25" s="1">
        <v>3653000000</v>
      </c>
      <c r="F25" s="1"/>
    </row>
    <row r="26" spans="1:6" x14ac:dyDescent="0.2">
      <c r="A26" s="1" t="s">
        <v>118</v>
      </c>
      <c r="B26" s="1">
        <v>17065000000</v>
      </c>
      <c r="C26" s="1">
        <v>16188000000</v>
      </c>
      <c r="D26" s="1">
        <v>11725000000</v>
      </c>
      <c r="E26" s="1">
        <v>13214000000</v>
      </c>
      <c r="F26" s="1"/>
    </row>
    <row r="27" spans="1:6" x14ac:dyDescent="0.2">
      <c r="A27" s="1" t="s">
        <v>119</v>
      </c>
      <c r="B27" s="1">
        <v>-12000000</v>
      </c>
      <c r="C27" s="1">
        <v>16000000</v>
      </c>
      <c r="D27" s="1">
        <v>-123000000</v>
      </c>
      <c r="E27" s="1">
        <v>-52000000</v>
      </c>
      <c r="F27" s="1"/>
    </row>
    <row r="28" spans="1:6" x14ac:dyDescent="0.2">
      <c r="A28" s="1" t="s">
        <v>120</v>
      </c>
      <c r="B28" s="1">
        <v>56000000</v>
      </c>
      <c r="C28" s="1">
        <v>191000000</v>
      </c>
      <c r="D28" s="1">
        <v>104000000</v>
      </c>
      <c r="E28" s="1">
        <v>253000000</v>
      </c>
      <c r="F28" s="1"/>
    </row>
    <row r="29" spans="1:6" x14ac:dyDescent="0.2">
      <c r="A29" s="1" t="s">
        <v>134</v>
      </c>
      <c r="B29" s="1"/>
      <c r="C29" s="1"/>
      <c r="D29" s="1"/>
      <c r="E29" s="1">
        <v>17000000</v>
      </c>
      <c r="F29" s="1">
        <v>-12000000</v>
      </c>
    </row>
    <row r="30" spans="1:6" x14ac:dyDescent="0.2">
      <c r="A30" s="1" t="s">
        <v>121</v>
      </c>
      <c r="B30" s="1">
        <v>4000000</v>
      </c>
      <c r="C30" s="1">
        <v>34000000</v>
      </c>
      <c r="D30" s="1">
        <v>19000000</v>
      </c>
      <c r="E30" s="1">
        <v>20000000</v>
      </c>
      <c r="F30" s="1"/>
    </row>
    <row r="31" spans="1:6" x14ac:dyDescent="0.2">
      <c r="A31" s="1" t="s">
        <v>122</v>
      </c>
      <c r="B31" s="1">
        <v>-48000000</v>
      </c>
      <c r="C31" s="1">
        <v>-241000000</v>
      </c>
      <c r="D31" s="1">
        <v>0</v>
      </c>
      <c r="E31" s="1">
        <v>-249000000</v>
      </c>
      <c r="F31" s="1"/>
    </row>
    <row r="32" spans="1:6" x14ac:dyDescent="0.2">
      <c r="A32" s="1" t="s">
        <v>123</v>
      </c>
      <c r="B32" s="1">
        <v>-1253000000</v>
      </c>
      <c r="C32" s="1">
        <v>33000000</v>
      </c>
      <c r="D32" s="1">
        <v>-3410000000</v>
      </c>
      <c r="E32" s="1">
        <v>11439000000</v>
      </c>
      <c r="F32" s="1"/>
    </row>
    <row r="33" spans="1:6" x14ac:dyDescent="0.2">
      <c r="A33" s="1" t="s">
        <v>124</v>
      </c>
      <c r="B33" s="1">
        <v>49005000000</v>
      </c>
      <c r="C33" s="1">
        <v>47403000000</v>
      </c>
      <c r="D33" s="1">
        <v>44818000000</v>
      </c>
      <c r="E33" s="1">
        <v>41885000000</v>
      </c>
      <c r="F33" s="1"/>
    </row>
    <row r="34" spans="1:6" x14ac:dyDescent="0.2">
      <c r="A34" s="1" t="s">
        <v>125</v>
      </c>
      <c r="B34" s="1">
        <v>11086000000</v>
      </c>
      <c r="C34" s="1">
        <v>11428000000</v>
      </c>
      <c r="D34" s="1">
        <v>12999000000</v>
      </c>
      <c r="E34" s="1">
        <v>12702000000</v>
      </c>
      <c r="F34" s="1"/>
    </row>
    <row r="35" spans="1:6" x14ac:dyDescent="0.2">
      <c r="A35" s="1" t="s">
        <v>126</v>
      </c>
      <c r="B35" s="1">
        <v>2367000000</v>
      </c>
      <c r="C35" s="1">
        <v>2356000000</v>
      </c>
      <c r="D35" s="1">
        <v>2224000000</v>
      </c>
      <c r="E35" s="1">
        <v>2284000000</v>
      </c>
      <c r="F35" s="1"/>
    </row>
    <row r="36" spans="1:6" x14ac:dyDescent="0.2">
      <c r="A36" s="1" t="s">
        <v>127</v>
      </c>
      <c r="B36" s="1">
        <v>2367000000</v>
      </c>
      <c r="C36" s="1">
        <v>2356000000</v>
      </c>
      <c r="D36" s="1">
        <v>2224000000</v>
      </c>
      <c r="E36" s="1">
        <v>2284000000</v>
      </c>
      <c r="F36" s="1"/>
    </row>
    <row r="37" spans="1:6" x14ac:dyDescent="0.2">
      <c r="A37" s="1" t="s">
        <v>128</v>
      </c>
      <c r="B37" s="1"/>
      <c r="C37" s="1"/>
      <c r="D37" s="1"/>
      <c r="E37" s="1">
        <v>10447000000</v>
      </c>
      <c r="F37" s="1">
        <v>9679000000</v>
      </c>
    </row>
    <row r="38" spans="1:6" x14ac:dyDescent="0.2">
      <c r="A38" s="1" t="s">
        <v>130</v>
      </c>
      <c r="B38" s="1"/>
      <c r="C38" s="1"/>
      <c r="D38" s="1"/>
      <c r="E38" s="1">
        <v>10447000000</v>
      </c>
      <c r="F38" s="1">
        <v>9679000000</v>
      </c>
    </row>
    <row r="39" spans="1:6" x14ac:dyDescent="0.2">
      <c r="A39" s="1" t="s">
        <v>135</v>
      </c>
      <c r="B39" s="1">
        <v>-288000000</v>
      </c>
      <c r="C39" s="1">
        <v>-253000000</v>
      </c>
      <c r="D39" s="1">
        <v>-283000000</v>
      </c>
      <c r="E39" s="1">
        <v>-343000000</v>
      </c>
      <c r="F39" s="1"/>
    </row>
    <row r="40" spans="1:6" x14ac:dyDescent="0.2">
      <c r="A40" s="1" t="s">
        <v>131</v>
      </c>
      <c r="B40" s="1">
        <v>16703000000</v>
      </c>
      <c r="C40" s="1">
        <v>15729000000</v>
      </c>
      <c r="D40" s="1">
        <v>12103000000</v>
      </c>
      <c r="E40" s="1">
        <v>10365000000</v>
      </c>
      <c r="F40" s="1"/>
    </row>
    <row r="41" spans="1:6" x14ac:dyDescent="0.2">
      <c r="A41" s="1" t="s">
        <v>89</v>
      </c>
      <c r="B41" s="1">
        <v>68804000000</v>
      </c>
      <c r="C41" s="1">
        <v>65870000000</v>
      </c>
      <c r="D41" s="1">
        <v>59735000000</v>
      </c>
      <c r="E41" s="1">
        <v>57477000000</v>
      </c>
      <c r="F41" s="1"/>
    </row>
    <row r="42" spans="1:6" x14ac:dyDescent="0.2">
      <c r="A42" s="1" t="s">
        <v>132</v>
      </c>
      <c r="B42" s="1">
        <v>68804000000</v>
      </c>
      <c r="C42" s="1">
        <v>65870000000</v>
      </c>
      <c r="D42" s="1">
        <v>59735000000</v>
      </c>
      <c r="E42" s="1">
        <v>57477000000</v>
      </c>
      <c r="F42" s="1"/>
    </row>
    <row r="43" spans="1:6" x14ac:dyDescent="0.2">
      <c r="A43" s="1"/>
      <c r="B43" s="1"/>
      <c r="C43" s="1"/>
      <c r="D43" s="1"/>
      <c r="E43" s="1"/>
      <c r="F4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6823-31FA-314C-9796-C55E0EF9DD82}">
  <dimension ref="A1:E41"/>
  <sheetViews>
    <sheetView workbookViewId="0"/>
  </sheetViews>
  <sheetFormatPr baseColWidth="10" defaultRowHeight="16" x14ac:dyDescent="0.2"/>
  <cols>
    <col min="1" max="1" width="50.83203125" bestFit="1" customWidth="1"/>
    <col min="2" max="3" width="17.83203125" bestFit="1" customWidth="1"/>
    <col min="4" max="5" width="13.6640625" bestFit="1" customWidth="1"/>
  </cols>
  <sheetData>
    <row r="1" spans="1:5" x14ac:dyDescent="0.2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</row>
    <row r="2" spans="1:5" x14ac:dyDescent="0.2">
      <c r="A2" s="1" t="s">
        <v>94</v>
      </c>
      <c r="B2" s="1">
        <v>-96690576.508066997</v>
      </c>
      <c r="C2" s="1">
        <v>-854687582.68758297</v>
      </c>
      <c r="D2" s="1">
        <v>-149660000</v>
      </c>
      <c r="E2" s="1">
        <v>-10350000</v>
      </c>
    </row>
    <row r="3" spans="1:5" x14ac:dyDescent="0.2">
      <c r="A3" s="1" t="s">
        <v>95</v>
      </c>
      <c r="B3" s="1">
        <v>0.26636500000000002</v>
      </c>
      <c r="C3" s="1">
        <v>0.33755400000000002</v>
      </c>
      <c r="D3" s="1">
        <v>0.14000000000000001</v>
      </c>
      <c r="E3" s="1">
        <v>0.15</v>
      </c>
    </row>
    <row r="4" spans="1:5" x14ac:dyDescent="0.2">
      <c r="A4" s="1" t="s">
        <v>96</v>
      </c>
      <c r="B4" s="1">
        <v>-363000000</v>
      </c>
      <c r="C4" s="1">
        <v>-2532000000</v>
      </c>
      <c r="D4" s="1">
        <v>-1069000000</v>
      </c>
      <c r="E4" s="1">
        <v>-69000000</v>
      </c>
    </row>
    <row r="5" spans="1:5" x14ac:dyDescent="0.2">
      <c r="A5" s="1" t="s">
        <v>97</v>
      </c>
      <c r="B5" s="1">
        <v>-363000000</v>
      </c>
      <c r="C5" s="1">
        <v>-2532000000</v>
      </c>
      <c r="D5" s="1">
        <v>-1069000000</v>
      </c>
      <c r="E5" s="1">
        <v>-69000000</v>
      </c>
    </row>
    <row r="6" spans="1:5" x14ac:dyDescent="0.2">
      <c r="A6" s="1" t="s">
        <v>98</v>
      </c>
      <c r="B6" s="1">
        <v>6931000000</v>
      </c>
      <c r="C6" s="1">
        <v>3366000000</v>
      </c>
      <c r="D6" s="1">
        <v>4772000000</v>
      </c>
      <c r="E6" s="1">
        <v>5525000000</v>
      </c>
    </row>
    <row r="7" spans="1:5" x14ac:dyDescent="0.2">
      <c r="A7" s="1" t="s">
        <v>100</v>
      </c>
      <c r="B7" s="1">
        <v>15690000000</v>
      </c>
      <c r="C7" s="1">
        <v>13064000000</v>
      </c>
      <c r="D7" s="1">
        <v>13602000000</v>
      </c>
      <c r="E7" s="1">
        <v>13650000000</v>
      </c>
    </row>
    <row r="8" spans="1:5" x14ac:dyDescent="0.2">
      <c r="A8" s="1" t="s">
        <v>101</v>
      </c>
      <c r="B8" s="1">
        <v>28768000000</v>
      </c>
      <c r="C8" s="1">
        <v>36292000000</v>
      </c>
      <c r="D8" s="1">
        <v>30473000000</v>
      </c>
      <c r="E8" s="1">
        <v>10649000000</v>
      </c>
    </row>
    <row r="9" spans="1:5" x14ac:dyDescent="0.2">
      <c r="A9" s="1" t="s">
        <v>102</v>
      </c>
      <c r="B9" s="1">
        <v>44458000000</v>
      </c>
      <c r="C9" s="1">
        <v>49356000000</v>
      </c>
      <c r="D9" s="1">
        <v>44075000000</v>
      </c>
      <c r="E9" s="1">
        <v>24299000000</v>
      </c>
    </row>
    <row r="10" spans="1:5" x14ac:dyDescent="0.2">
      <c r="A10" s="1" t="s">
        <v>103</v>
      </c>
      <c r="B10" s="1">
        <v>7197309423.49193</v>
      </c>
      <c r="C10" s="1">
        <v>5043312417.3124104</v>
      </c>
      <c r="D10" s="1">
        <v>5691340000</v>
      </c>
      <c r="E10" s="1">
        <v>5583650000</v>
      </c>
    </row>
    <row r="11" spans="1:5" x14ac:dyDescent="0.2">
      <c r="A11" s="1" t="s">
        <v>104</v>
      </c>
      <c r="B11" s="1">
        <v>6931000000</v>
      </c>
      <c r="C11" s="1">
        <v>3366000000</v>
      </c>
      <c r="D11" s="1">
        <v>4772000000</v>
      </c>
      <c r="E11" s="1">
        <v>5525000000</v>
      </c>
    </row>
    <row r="12" spans="1:5" x14ac:dyDescent="0.2">
      <c r="A12" s="1" t="s">
        <v>105</v>
      </c>
      <c r="B12" s="1">
        <v>1939573264</v>
      </c>
      <c r="C12" s="1">
        <v>2039300000</v>
      </c>
      <c r="D12" s="1">
        <v>2104000000</v>
      </c>
      <c r="E12" s="1">
        <v>2125600000</v>
      </c>
    </row>
    <row r="13" spans="1:5" x14ac:dyDescent="0.2">
      <c r="A13" s="1" t="s">
        <v>106</v>
      </c>
      <c r="B13" s="1">
        <v>1939573264</v>
      </c>
      <c r="C13" s="1">
        <v>1993600000</v>
      </c>
      <c r="D13" s="1">
        <v>2064100000</v>
      </c>
      <c r="E13" s="1">
        <v>2084900000</v>
      </c>
    </row>
    <row r="14" spans="1:5" x14ac:dyDescent="0.2">
      <c r="A14" s="1" t="s">
        <v>107</v>
      </c>
      <c r="B14" s="1">
        <v>3.1563639999999999</v>
      </c>
      <c r="C14" s="1">
        <v>1.37</v>
      </c>
      <c r="D14" s="1">
        <v>2.0299999999999998</v>
      </c>
      <c r="E14" s="1">
        <v>2.37</v>
      </c>
    </row>
    <row r="15" spans="1:5" x14ac:dyDescent="0.2">
      <c r="A15" s="1" t="s">
        <v>108</v>
      </c>
      <c r="B15" s="1">
        <v>3.1563639999999999</v>
      </c>
      <c r="C15" s="1">
        <v>1.4</v>
      </c>
      <c r="D15" s="1">
        <v>2.0699999999999998</v>
      </c>
      <c r="E15" s="1">
        <v>2.42</v>
      </c>
    </row>
    <row r="16" spans="1:5" x14ac:dyDescent="0.2">
      <c r="A16" s="1" t="s">
        <v>109</v>
      </c>
      <c r="B16" s="1">
        <v>6171000000</v>
      </c>
      <c r="C16" s="1">
        <v>2792000000</v>
      </c>
      <c r="D16" s="1">
        <v>4274000000</v>
      </c>
      <c r="E16" s="1">
        <v>5046000000</v>
      </c>
    </row>
    <row r="17" spans="1:5" x14ac:dyDescent="0.2">
      <c r="A17" s="1" t="s">
        <v>136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">
      <c r="A18" s="1" t="s">
        <v>110</v>
      </c>
      <c r="B18" s="1">
        <v>6171000000</v>
      </c>
      <c r="C18" s="1">
        <v>2792000000</v>
      </c>
      <c r="D18" s="1">
        <v>4274000000</v>
      </c>
      <c r="E18" s="1">
        <v>5046000000</v>
      </c>
    </row>
    <row r="19" spans="1:5" x14ac:dyDescent="0.2">
      <c r="A19" s="1" t="s">
        <v>111</v>
      </c>
      <c r="B19" s="1">
        <v>760000000</v>
      </c>
      <c r="C19" s="1">
        <v>574000000</v>
      </c>
      <c r="D19" s="1">
        <v>498000000</v>
      </c>
      <c r="E19" s="1">
        <v>479000000</v>
      </c>
    </row>
    <row r="20" spans="1:5" x14ac:dyDescent="0.2">
      <c r="A20" s="1" t="s">
        <v>112</v>
      </c>
      <c r="B20" s="1">
        <v>6931000000</v>
      </c>
      <c r="C20" s="1">
        <v>3366000000</v>
      </c>
      <c r="D20" s="1">
        <v>4772000000</v>
      </c>
      <c r="E20" s="1">
        <v>5525000000</v>
      </c>
    </row>
    <row r="21" spans="1:5" x14ac:dyDescent="0.2">
      <c r="A21" s="1" t="s">
        <v>113</v>
      </c>
      <c r="B21" s="1">
        <v>-208000000</v>
      </c>
      <c r="C21" s="1">
        <v>-139000000</v>
      </c>
      <c r="D21" s="1">
        <v>-119000000</v>
      </c>
      <c r="E21" s="1">
        <v>-134000000</v>
      </c>
    </row>
    <row r="22" spans="1:5" x14ac:dyDescent="0.2">
      <c r="A22" s="1" t="s">
        <v>114</v>
      </c>
      <c r="B22" s="1">
        <v>7139000000</v>
      </c>
      <c r="C22" s="1">
        <v>3505000000</v>
      </c>
      <c r="D22" s="1">
        <v>4892000000</v>
      </c>
      <c r="E22" s="1">
        <v>5659000000</v>
      </c>
    </row>
    <row r="23" spans="1:5" x14ac:dyDescent="0.2">
      <c r="A23" s="1" t="s">
        <v>116</v>
      </c>
      <c r="B23" s="1">
        <v>7139000000</v>
      </c>
      <c r="C23" s="1">
        <v>3505000000</v>
      </c>
      <c r="D23" s="1">
        <v>4891000000</v>
      </c>
      <c r="E23" s="1">
        <v>5658000000</v>
      </c>
    </row>
    <row r="24" spans="1:5" x14ac:dyDescent="0.2">
      <c r="A24" s="1" t="s">
        <v>117</v>
      </c>
      <c r="B24" s="1">
        <v>2592000000</v>
      </c>
      <c r="C24" s="1">
        <v>1786000000</v>
      </c>
      <c r="D24" s="1">
        <v>787000000</v>
      </c>
      <c r="E24" s="1">
        <v>-64000000</v>
      </c>
    </row>
    <row r="25" spans="1:5" x14ac:dyDescent="0.2">
      <c r="A25" s="1" t="s">
        <v>118</v>
      </c>
      <c r="B25" s="1">
        <v>9731000000</v>
      </c>
      <c r="C25" s="1">
        <v>5291000000</v>
      </c>
      <c r="D25" s="1">
        <v>5678000000</v>
      </c>
      <c r="E25" s="1">
        <v>5594000000</v>
      </c>
    </row>
    <row r="26" spans="1:5" x14ac:dyDescent="0.2">
      <c r="A26" s="1" t="s">
        <v>119</v>
      </c>
      <c r="B26" s="1">
        <v>-363000000</v>
      </c>
      <c r="C26" s="1">
        <v>-2532000000</v>
      </c>
      <c r="D26" s="1">
        <v>-1069000000</v>
      </c>
      <c r="E26" s="1">
        <v>-69000000</v>
      </c>
    </row>
    <row r="27" spans="1:5" x14ac:dyDescent="0.2">
      <c r="A27" s="1" t="s">
        <v>120</v>
      </c>
      <c r="B27" s="1">
        <v>180000000</v>
      </c>
      <c r="C27" s="1">
        <v>2003000000</v>
      </c>
      <c r="D27" s="1">
        <v>270000000</v>
      </c>
      <c r="E27" s="1">
        <v>9000000</v>
      </c>
    </row>
    <row r="28" spans="1:5" x14ac:dyDescent="0.2">
      <c r="A28" s="1" t="s">
        <v>121</v>
      </c>
      <c r="B28" s="1">
        <v>0</v>
      </c>
      <c r="C28" s="1">
        <v>0</v>
      </c>
      <c r="D28" s="1">
        <v>233000000</v>
      </c>
      <c r="E28" s="1">
        <v>68000000</v>
      </c>
    </row>
    <row r="29" spans="1:5" x14ac:dyDescent="0.2">
      <c r="A29" s="1" t="s">
        <v>122</v>
      </c>
      <c r="B29" s="1">
        <v>183000000</v>
      </c>
      <c r="C29" s="1">
        <v>529000000</v>
      </c>
      <c r="D29" s="1">
        <v>566000000</v>
      </c>
      <c r="E29" s="1">
        <v>-8000000</v>
      </c>
    </row>
    <row r="30" spans="1:5" x14ac:dyDescent="0.2">
      <c r="A30" s="1" t="s">
        <v>123</v>
      </c>
      <c r="B30" s="1">
        <v>120000000</v>
      </c>
      <c r="C30" s="1">
        <v>871000000</v>
      </c>
      <c r="D30" s="1">
        <v>1055000000</v>
      </c>
      <c r="E30" s="1">
        <v>-144000000</v>
      </c>
    </row>
    <row r="31" spans="1:5" x14ac:dyDescent="0.2">
      <c r="A31" s="1" t="s">
        <v>128</v>
      </c>
      <c r="B31" s="1">
        <v>18210000000</v>
      </c>
      <c r="C31" s="1">
        <v>18380000000</v>
      </c>
      <c r="D31" s="1">
        <v>18029000000</v>
      </c>
      <c r="E31" s="1">
        <v>16979000000</v>
      </c>
    </row>
    <row r="32" spans="1:5" x14ac:dyDescent="0.2">
      <c r="A32" s="1" t="s">
        <v>129</v>
      </c>
      <c r="B32" s="1">
        <v>195000000</v>
      </c>
      <c r="C32" s="1">
        <v>149000000</v>
      </c>
      <c r="D32" s="1">
        <v>203000000</v>
      </c>
      <c r="E32" s="1">
        <v>165000000</v>
      </c>
    </row>
    <row r="33" spans="1:5" x14ac:dyDescent="0.2">
      <c r="A33" s="1" t="s">
        <v>130</v>
      </c>
      <c r="B33" s="1">
        <v>18015000000</v>
      </c>
      <c r="C33" s="1">
        <v>18231000000</v>
      </c>
      <c r="D33" s="1">
        <v>17826000000</v>
      </c>
      <c r="E33" s="1">
        <v>16814000000</v>
      </c>
    </row>
    <row r="34" spans="1:5" x14ac:dyDescent="0.2">
      <c r="A34" s="1" t="s">
        <v>137</v>
      </c>
      <c r="B34" s="1">
        <v>6202000000</v>
      </c>
      <c r="C34" s="1">
        <v>6500000000</v>
      </c>
      <c r="D34" s="1">
        <v>6695000000</v>
      </c>
      <c r="E34" s="1">
        <v>6102000000</v>
      </c>
    </row>
    <row r="35" spans="1:5" x14ac:dyDescent="0.2">
      <c r="A35" s="1" t="s">
        <v>138</v>
      </c>
      <c r="B35" s="1">
        <v>11813000000</v>
      </c>
      <c r="C35" s="1">
        <v>11731000000</v>
      </c>
      <c r="D35" s="1">
        <v>11131000000</v>
      </c>
      <c r="E35" s="1">
        <v>10712000000</v>
      </c>
    </row>
    <row r="36" spans="1:5" x14ac:dyDescent="0.2">
      <c r="A36" s="1" t="s">
        <v>89</v>
      </c>
      <c r="B36" s="1">
        <v>32099000000</v>
      </c>
      <c r="C36" s="1">
        <v>30047000000</v>
      </c>
      <c r="D36" s="1">
        <v>28875000000</v>
      </c>
      <c r="E36" s="1">
        <v>26656000000</v>
      </c>
    </row>
    <row r="37" spans="1:5" x14ac:dyDescent="0.2">
      <c r="A37" s="1" t="s">
        <v>132</v>
      </c>
      <c r="B37" s="1">
        <v>32099000000</v>
      </c>
      <c r="C37" s="1">
        <v>30047000000</v>
      </c>
      <c r="D37" s="1">
        <v>28875000000</v>
      </c>
      <c r="E37" s="1">
        <v>26656000000</v>
      </c>
    </row>
    <row r="38" spans="1:5" x14ac:dyDescent="0.2">
      <c r="A38" s="1" t="s">
        <v>139</v>
      </c>
      <c r="B38" s="1">
        <v>1463000000</v>
      </c>
      <c r="C38" s="1">
        <v>1624000000</v>
      </c>
      <c r="D38" s="1">
        <v>1478000000</v>
      </c>
      <c r="E38" s="1">
        <v>1429000000</v>
      </c>
    </row>
    <row r="39" spans="1:5" x14ac:dyDescent="0.2">
      <c r="A39" s="1" t="s">
        <v>140</v>
      </c>
      <c r="B39" s="1">
        <v>671000000</v>
      </c>
      <c r="C39" s="1">
        <v>763000000</v>
      </c>
      <c r="D39" s="1">
        <v>899000000</v>
      </c>
      <c r="E39" s="1">
        <v>858000000</v>
      </c>
    </row>
    <row r="40" spans="1:5" x14ac:dyDescent="0.2">
      <c r="A40" s="1" t="s">
        <v>141</v>
      </c>
      <c r="B40" s="1">
        <v>-50000000</v>
      </c>
      <c r="C40" s="1">
        <v>-360000000</v>
      </c>
      <c r="D40" s="1">
        <v>182000000</v>
      </c>
      <c r="E40" s="1">
        <v>652000000</v>
      </c>
    </row>
    <row r="41" spans="1:5" x14ac:dyDescent="0.2">
      <c r="A41" s="1"/>
      <c r="B41" s="1"/>
      <c r="C41" s="1"/>
      <c r="D41" s="1"/>
      <c r="E4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069F-B3B4-244A-8094-BB797ADEF20E}">
  <dimension ref="A1:E47"/>
  <sheetViews>
    <sheetView workbookViewId="0"/>
  </sheetViews>
  <sheetFormatPr baseColWidth="10" defaultRowHeight="16" x14ac:dyDescent="0.2"/>
  <cols>
    <col min="1" max="1" width="56.33203125" bestFit="1" customWidth="1"/>
    <col min="2" max="5" width="15.6640625" bestFit="1" customWidth="1"/>
  </cols>
  <sheetData>
    <row r="1" spans="1:5" x14ac:dyDescent="0.2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</row>
    <row r="2" spans="1:5" x14ac:dyDescent="0.2">
      <c r="A2" s="1" t="s">
        <v>10</v>
      </c>
      <c r="B2" s="1">
        <v>20000000</v>
      </c>
      <c r="C2" s="1">
        <v>19000000</v>
      </c>
      <c r="D2" s="1">
        <v>19000000</v>
      </c>
      <c r="E2" s="1">
        <v>0</v>
      </c>
    </row>
    <row r="3" spans="1:5" x14ac:dyDescent="0.2">
      <c r="A3" s="1" t="s">
        <v>11</v>
      </c>
      <c r="B3" s="1">
        <v>13844768457</v>
      </c>
      <c r="C3" s="1">
        <v>14400599565</v>
      </c>
      <c r="D3" s="1">
        <v>15135554000</v>
      </c>
      <c r="E3" s="1">
        <v>15871000000</v>
      </c>
    </row>
    <row r="4" spans="1:5" x14ac:dyDescent="0.2">
      <c r="A4" s="1" t="s">
        <v>12</v>
      </c>
      <c r="B4" s="1">
        <v>13864768457</v>
      </c>
      <c r="C4" s="1">
        <v>14419599565</v>
      </c>
      <c r="D4" s="1">
        <v>15154554000</v>
      </c>
      <c r="E4" s="1">
        <v>15871000000</v>
      </c>
    </row>
    <row r="5" spans="1:5" x14ac:dyDescent="0.2">
      <c r="A5" s="1" t="s">
        <v>13</v>
      </c>
      <c r="B5" s="1">
        <v>219941000000</v>
      </c>
      <c r="C5" s="1">
        <v>185746000000</v>
      </c>
      <c r="D5" s="1">
        <v>176551000000</v>
      </c>
      <c r="E5" s="1">
        <v>183366000000</v>
      </c>
    </row>
    <row r="6" spans="1:5" x14ac:dyDescent="0.2">
      <c r="A6" s="1" t="s">
        <v>14</v>
      </c>
      <c r="B6" s="1">
        <v>69500000000</v>
      </c>
      <c r="C6" s="1">
        <v>63546000000</v>
      </c>
      <c r="D6" s="1">
        <v>63410000000</v>
      </c>
      <c r="E6" s="1">
        <v>60053000000</v>
      </c>
    </row>
    <row r="7" spans="1:5" x14ac:dyDescent="0.2">
      <c r="A7" s="1" t="s">
        <v>15</v>
      </c>
      <c r="B7" s="1">
        <v>296447000000</v>
      </c>
      <c r="C7" s="1">
        <v>256362000000</v>
      </c>
      <c r="D7" s="1">
        <v>246784000000</v>
      </c>
      <c r="E7" s="1">
        <v>250442000000</v>
      </c>
    </row>
    <row r="8" spans="1:5" x14ac:dyDescent="0.2">
      <c r="A8" s="1" t="s">
        <v>16</v>
      </c>
      <c r="B8" s="1">
        <v>69500000000</v>
      </c>
      <c r="C8" s="1">
        <v>63546000000</v>
      </c>
      <c r="D8" s="1">
        <v>63410000000</v>
      </c>
      <c r="E8" s="1">
        <v>60053000000</v>
      </c>
    </row>
    <row r="9" spans="1:5" x14ac:dyDescent="0.2">
      <c r="A9" s="1" t="s">
        <v>17</v>
      </c>
      <c r="B9" s="1">
        <v>77784000000</v>
      </c>
      <c r="C9" s="1">
        <v>71821000000</v>
      </c>
      <c r="D9" s="1">
        <v>71204000000</v>
      </c>
      <c r="E9" s="1">
        <v>68292000000</v>
      </c>
    </row>
    <row r="10" spans="1:5" x14ac:dyDescent="0.2">
      <c r="A10" s="1" t="s">
        <v>18</v>
      </c>
      <c r="B10" s="1">
        <v>296447000000</v>
      </c>
      <c r="C10" s="1">
        <v>256362000000</v>
      </c>
      <c r="D10" s="1">
        <v>246784000000</v>
      </c>
      <c r="E10" s="1">
        <v>250442000000</v>
      </c>
    </row>
    <row r="11" spans="1:5" x14ac:dyDescent="0.2">
      <c r="A11" s="1" t="s">
        <v>19</v>
      </c>
      <c r="B11" s="1">
        <v>78236000000</v>
      </c>
      <c r="C11" s="1">
        <v>72481000000</v>
      </c>
      <c r="D11" s="1">
        <v>71864000000</v>
      </c>
      <c r="E11" s="1">
        <v>69260000000</v>
      </c>
    </row>
    <row r="12" spans="1:5" x14ac:dyDescent="0.2">
      <c r="A12" s="1" t="s">
        <v>20</v>
      </c>
      <c r="B12" s="1">
        <v>452000000</v>
      </c>
      <c r="C12" s="1">
        <v>660000000</v>
      </c>
      <c r="D12" s="1">
        <v>660000000</v>
      </c>
      <c r="E12" s="1">
        <v>968000000</v>
      </c>
    </row>
    <row r="13" spans="1:5" x14ac:dyDescent="0.2">
      <c r="A13" s="1" t="s">
        <v>21</v>
      </c>
      <c r="B13" s="1">
        <v>77784000000</v>
      </c>
      <c r="C13" s="1">
        <v>71821000000</v>
      </c>
      <c r="D13" s="1">
        <v>71204000000</v>
      </c>
      <c r="E13" s="1">
        <v>68292000000</v>
      </c>
    </row>
    <row r="14" spans="1:5" x14ac:dyDescent="0.2">
      <c r="A14" s="1" t="s">
        <v>22</v>
      </c>
      <c r="B14" s="1">
        <v>12725000000</v>
      </c>
      <c r="C14" s="1">
        <v>12075000000</v>
      </c>
      <c r="D14" s="1">
        <v>13259000000</v>
      </c>
      <c r="E14" s="1">
        <v>13284000000</v>
      </c>
    </row>
    <row r="15" spans="1:5" x14ac:dyDescent="0.2">
      <c r="A15" s="1" t="s">
        <v>23</v>
      </c>
      <c r="B15" s="1">
        <v>59253000000</v>
      </c>
      <c r="C15" s="1">
        <v>56028000000</v>
      </c>
      <c r="D15" s="1">
        <v>53734000000</v>
      </c>
      <c r="E15" s="1">
        <v>52827000000</v>
      </c>
    </row>
    <row r="16" spans="1:5" x14ac:dyDescent="0.2">
      <c r="A16" s="1" t="s">
        <v>24</v>
      </c>
      <c r="B16" s="1">
        <v>711000000</v>
      </c>
      <c r="C16" s="1">
        <v>581000000</v>
      </c>
      <c r="D16" s="1">
        <v>499000000</v>
      </c>
      <c r="E16" s="1">
        <v>405000000</v>
      </c>
    </row>
    <row r="17" spans="1:5" x14ac:dyDescent="0.2">
      <c r="A17" s="1" t="s">
        <v>25</v>
      </c>
      <c r="B17" s="1">
        <v>3467000000</v>
      </c>
      <c r="C17" s="1">
        <v>3605000000</v>
      </c>
      <c r="D17" s="1">
        <v>3789000000</v>
      </c>
      <c r="E17" s="1">
        <v>3968000000</v>
      </c>
    </row>
    <row r="18" spans="1:5" x14ac:dyDescent="0.2">
      <c r="A18" s="1" t="s">
        <v>26</v>
      </c>
      <c r="B18" s="1">
        <v>3467000000</v>
      </c>
      <c r="C18" s="1">
        <v>3605000000</v>
      </c>
      <c r="D18" s="1">
        <v>3789000000</v>
      </c>
      <c r="E18" s="1">
        <v>3968000000</v>
      </c>
    </row>
    <row r="19" spans="1:5" x14ac:dyDescent="0.2">
      <c r="A19" s="1" t="s">
        <v>27</v>
      </c>
      <c r="B19" s="1">
        <v>1465929000000</v>
      </c>
      <c r="C19" s="1">
        <v>1445721000000</v>
      </c>
      <c r="D19" s="1">
        <v>1405623000000</v>
      </c>
      <c r="E19" s="1">
        <v>1444439000000</v>
      </c>
    </row>
    <row r="20" spans="1:5" x14ac:dyDescent="0.2">
      <c r="A20" s="1" t="s">
        <v>28</v>
      </c>
      <c r="B20" s="1">
        <v>240808000000</v>
      </c>
      <c r="C20" s="1">
        <v>279415000000</v>
      </c>
      <c r="D20" s="1">
        <v>250044000000</v>
      </c>
      <c r="E20" s="1">
        <v>289620000000</v>
      </c>
    </row>
    <row r="21" spans="1:5" x14ac:dyDescent="0.2">
      <c r="A21" s="1" t="s">
        <v>29</v>
      </c>
      <c r="B21" s="1">
        <v>219941000000</v>
      </c>
      <c r="C21" s="1">
        <v>185746000000</v>
      </c>
      <c r="D21" s="1">
        <v>176551000000</v>
      </c>
      <c r="E21" s="1">
        <v>183366000000</v>
      </c>
    </row>
    <row r="22" spans="1:5" x14ac:dyDescent="0.2">
      <c r="A22" s="1" t="s">
        <v>30</v>
      </c>
      <c r="B22" s="1">
        <v>5345000000</v>
      </c>
      <c r="C22" s="1">
        <v>5394000000</v>
      </c>
      <c r="D22" s="1">
        <v>7167000000</v>
      </c>
      <c r="E22" s="1">
        <v>8450000000</v>
      </c>
    </row>
    <row r="23" spans="1:5" x14ac:dyDescent="0.2">
      <c r="A23" s="1" t="s">
        <v>31</v>
      </c>
      <c r="B23" s="1">
        <v>4477000000</v>
      </c>
      <c r="C23" s="1">
        <v>4828000000</v>
      </c>
      <c r="D23" s="1">
        <v>6638000000</v>
      </c>
      <c r="E23" s="1">
        <v>7870000000</v>
      </c>
    </row>
    <row r="24" spans="1:5" x14ac:dyDescent="0.2">
      <c r="A24" s="1" t="s">
        <v>32</v>
      </c>
      <c r="B24" s="1">
        <v>868000000</v>
      </c>
      <c r="C24" s="1">
        <v>566000000</v>
      </c>
      <c r="D24" s="1">
        <v>529000000</v>
      </c>
      <c r="E24" s="1">
        <v>580000000</v>
      </c>
    </row>
    <row r="25" spans="1:5" x14ac:dyDescent="0.2">
      <c r="A25" s="1" t="s">
        <v>33</v>
      </c>
      <c r="B25" s="1">
        <v>1544165000000</v>
      </c>
      <c r="C25" s="1">
        <v>1518202000000</v>
      </c>
      <c r="D25" s="1">
        <v>1477487000000</v>
      </c>
      <c r="E25" s="1">
        <v>1513699000000</v>
      </c>
    </row>
    <row r="26" spans="1:5" x14ac:dyDescent="0.2">
      <c r="A26" s="1" t="s">
        <v>34</v>
      </c>
      <c r="B26" s="1">
        <v>3308000000</v>
      </c>
      <c r="C26" s="1">
        <v>3263000000</v>
      </c>
      <c r="D26" s="1">
        <v>3667000000</v>
      </c>
      <c r="E26" s="1">
        <v>4743000000</v>
      </c>
    </row>
    <row r="27" spans="1:5" x14ac:dyDescent="0.2">
      <c r="A27" s="1" t="s">
        <v>35</v>
      </c>
      <c r="B27" s="1">
        <v>578209000000</v>
      </c>
      <c r="C27" s="1">
        <v>597283000000</v>
      </c>
      <c r="D27" s="1">
        <v>557362000000</v>
      </c>
      <c r="E27" s="1">
        <v>543702000000</v>
      </c>
    </row>
    <row r="28" spans="1:5" x14ac:dyDescent="0.2">
      <c r="A28" s="1" t="s">
        <v>36</v>
      </c>
      <c r="B28" s="1">
        <v>577470000000</v>
      </c>
      <c r="C28" s="1">
        <v>596392000000</v>
      </c>
      <c r="D28" s="1">
        <v>556483000000</v>
      </c>
      <c r="E28" s="1">
        <v>542780000000</v>
      </c>
    </row>
    <row r="29" spans="1:5" x14ac:dyDescent="0.2">
      <c r="A29" s="1" t="s">
        <v>37</v>
      </c>
      <c r="B29" s="1">
        <v>140502000000</v>
      </c>
      <c r="C29" s="1">
        <v>142986000000</v>
      </c>
      <c r="D29" s="1">
        <v>127814000000</v>
      </c>
      <c r="E29" s="1">
        <v>110327000000</v>
      </c>
    </row>
    <row r="30" spans="1:5" x14ac:dyDescent="0.2">
      <c r="A30" s="1" t="s">
        <v>38</v>
      </c>
      <c r="B30" s="1">
        <v>6697000000</v>
      </c>
      <c r="C30" s="1">
        <v>6893000000</v>
      </c>
      <c r="D30" s="1">
        <v>9881000000</v>
      </c>
      <c r="E30" s="1">
        <v>9458000000</v>
      </c>
    </row>
    <row r="31" spans="1:5" x14ac:dyDescent="0.2">
      <c r="A31" s="1" t="s">
        <v>39</v>
      </c>
      <c r="B31" s="1">
        <v>177812000000</v>
      </c>
      <c r="C31" s="1">
        <v>152983000000</v>
      </c>
      <c r="D31" s="1">
        <v>161952000000</v>
      </c>
      <c r="E31" s="1">
        <v>120615000000</v>
      </c>
    </row>
    <row r="32" spans="1:5" x14ac:dyDescent="0.2">
      <c r="A32" s="1" t="s">
        <v>40</v>
      </c>
      <c r="B32" s="1">
        <v>739000000</v>
      </c>
      <c r="C32" s="1">
        <v>891000000</v>
      </c>
      <c r="D32" s="1">
        <v>879000000</v>
      </c>
      <c r="E32" s="1">
        <v>922000000</v>
      </c>
    </row>
    <row r="33" spans="1:5" x14ac:dyDescent="0.2">
      <c r="A33" s="1" t="s">
        <v>41</v>
      </c>
      <c r="B33" s="1">
        <v>0</v>
      </c>
      <c r="C33" s="1">
        <v>199000000</v>
      </c>
      <c r="D33" s="1">
        <v>209000000</v>
      </c>
      <c r="E33" s="1">
        <v>227000000</v>
      </c>
    </row>
    <row r="34" spans="1:5" x14ac:dyDescent="0.2">
      <c r="A34" s="1" t="s">
        <v>42</v>
      </c>
      <c r="B34" s="1">
        <v>739000000</v>
      </c>
      <c r="C34" s="1">
        <v>692000000</v>
      </c>
      <c r="D34" s="1">
        <v>670000000</v>
      </c>
      <c r="E34" s="1">
        <v>695000000</v>
      </c>
    </row>
    <row r="35" spans="1:5" x14ac:dyDescent="0.2">
      <c r="A35" s="1" t="s">
        <v>43</v>
      </c>
      <c r="B35" s="1">
        <v>43000000</v>
      </c>
      <c r="C35" s="1">
        <v>9000000</v>
      </c>
      <c r="D35" s="1">
        <v>2000000</v>
      </c>
      <c r="E35" s="1">
        <v>5000000</v>
      </c>
    </row>
    <row r="36" spans="1:5" x14ac:dyDescent="0.2">
      <c r="A36" s="1" t="s">
        <v>44</v>
      </c>
      <c r="B36" s="1">
        <v>8284000000</v>
      </c>
      <c r="C36" s="1">
        <v>8275000000</v>
      </c>
      <c r="D36" s="1">
        <v>7794000000</v>
      </c>
      <c r="E36" s="1">
        <v>8239000000</v>
      </c>
    </row>
    <row r="37" spans="1:5" x14ac:dyDescent="0.2">
      <c r="A37" s="1" t="s">
        <v>45</v>
      </c>
      <c r="B37" s="1">
        <v>3869000000</v>
      </c>
      <c r="C37" s="1">
        <v>3825000000</v>
      </c>
      <c r="D37" s="1">
        <v>3617000000</v>
      </c>
      <c r="E37" s="1">
        <v>4327000000</v>
      </c>
    </row>
    <row r="38" spans="1:5" x14ac:dyDescent="0.2">
      <c r="A38" s="1" t="s">
        <v>46</v>
      </c>
      <c r="B38" s="1">
        <v>4415000000</v>
      </c>
      <c r="C38" s="1">
        <v>4450000000</v>
      </c>
      <c r="D38" s="1">
        <v>4177000000</v>
      </c>
      <c r="E38" s="1">
        <v>3912000000</v>
      </c>
    </row>
    <row r="39" spans="1:5" x14ac:dyDescent="0.2">
      <c r="A39" s="1" t="s">
        <v>47</v>
      </c>
      <c r="B39" s="1">
        <v>3677000000</v>
      </c>
      <c r="C39" s="1">
        <v>3595000000</v>
      </c>
      <c r="D39" s="1">
        <v>3415000000</v>
      </c>
      <c r="E39" s="1">
        <v>3611000000</v>
      </c>
    </row>
    <row r="40" spans="1:5" x14ac:dyDescent="0.2">
      <c r="A40" s="1" t="s">
        <v>48</v>
      </c>
      <c r="B40" s="1">
        <v>-4600000000</v>
      </c>
      <c r="C40" s="1">
        <v>-4493000000</v>
      </c>
      <c r="D40" s="1">
        <v>-4512000000</v>
      </c>
      <c r="E40" s="1">
        <v>-4942000000</v>
      </c>
    </row>
    <row r="41" spans="1:5" x14ac:dyDescent="0.2">
      <c r="A41" s="1" t="s">
        <v>49</v>
      </c>
      <c r="B41" s="1">
        <v>8277000000</v>
      </c>
      <c r="C41" s="1">
        <v>8088000000</v>
      </c>
      <c r="D41" s="1">
        <v>7927000000</v>
      </c>
      <c r="E41" s="1">
        <v>8553000000</v>
      </c>
    </row>
    <row r="42" spans="1:5" x14ac:dyDescent="0.2">
      <c r="A42" s="1" t="s">
        <v>50</v>
      </c>
      <c r="B42" s="1">
        <v>2455000000</v>
      </c>
      <c r="C42" s="1">
        <v>2245000000</v>
      </c>
      <c r="D42" s="1">
        <v>2347000000</v>
      </c>
      <c r="E42" s="1">
        <v>3018000000</v>
      </c>
    </row>
    <row r="43" spans="1:5" x14ac:dyDescent="0.2">
      <c r="A43" s="1" t="s">
        <v>51</v>
      </c>
      <c r="B43" s="1">
        <v>5822000000</v>
      </c>
      <c r="C43" s="1">
        <v>5843000000</v>
      </c>
      <c r="D43" s="1">
        <v>5580000000</v>
      </c>
      <c r="E43" s="1">
        <v>5535000000</v>
      </c>
    </row>
    <row r="44" spans="1:5" x14ac:dyDescent="0.2">
      <c r="A44" s="1" t="s">
        <v>52</v>
      </c>
      <c r="B44" s="1">
        <v>276000000</v>
      </c>
      <c r="C44" s="1">
        <v>155000000</v>
      </c>
      <c r="D44" s="1">
        <v>121000000</v>
      </c>
      <c r="E44" s="1">
        <v>385000000</v>
      </c>
    </row>
    <row r="45" spans="1:5" x14ac:dyDescent="0.2">
      <c r="A45" s="1" t="s">
        <v>53</v>
      </c>
      <c r="B45" s="1">
        <v>229752000000</v>
      </c>
      <c r="C45" s="1">
        <v>210184000000</v>
      </c>
      <c r="D45" s="1">
        <v>224634000000</v>
      </c>
      <c r="E45" s="1">
        <v>256351000000</v>
      </c>
    </row>
    <row r="46" spans="1:5" x14ac:dyDescent="0.2">
      <c r="A46" s="1" t="s">
        <v>54</v>
      </c>
      <c r="B46" s="1">
        <v>379862000000</v>
      </c>
      <c r="C46" s="1">
        <v>356691000000</v>
      </c>
      <c r="D46" s="1">
        <v>376359000000</v>
      </c>
      <c r="E46" s="1">
        <v>421808000000</v>
      </c>
    </row>
    <row r="47" spans="1:5" x14ac:dyDescent="0.2">
      <c r="A47" s="1"/>
      <c r="B47" s="1"/>
      <c r="C47" s="1"/>
      <c r="D47" s="1"/>
      <c r="E4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0A32-3058-D547-95AE-BF91D376D01F}">
  <dimension ref="A1:F49"/>
  <sheetViews>
    <sheetView workbookViewId="0"/>
  </sheetViews>
  <sheetFormatPr baseColWidth="10" defaultRowHeight="16" x14ac:dyDescent="0.2"/>
  <cols>
    <col min="1" max="1" width="56.33203125" bestFit="1" customWidth="1"/>
    <col min="2" max="5" width="15.6640625" bestFit="1" customWidth="1"/>
    <col min="6" max="6" width="12.6640625" bestFit="1" customWidth="1"/>
  </cols>
  <sheetData>
    <row r="1" spans="1:6" x14ac:dyDescent="0.2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</row>
    <row r="2" spans="1:6" x14ac:dyDescent="0.2">
      <c r="A2" s="1" t="s">
        <v>10</v>
      </c>
      <c r="B2" s="1">
        <v>16685450</v>
      </c>
      <c r="C2" s="1">
        <v>1256198</v>
      </c>
      <c r="D2" s="1">
        <v>0</v>
      </c>
      <c r="E2" s="1">
        <v>881641</v>
      </c>
      <c r="F2" s="1"/>
    </row>
    <row r="3" spans="1:6" x14ac:dyDescent="0.2">
      <c r="A3" s="1" t="s">
        <v>11</v>
      </c>
      <c r="B3" s="1">
        <v>1100099307</v>
      </c>
      <c r="C3" s="1">
        <v>1129554473</v>
      </c>
      <c r="D3" s="1">
        <v>1147477409</v>
      </c>
      <c r="E3" s="1">
        <v>1233450005</v>
      </c>
      <c r="F3" s="1"/>
    </row>
    <row r="4" spans="1:6" x14ac:dyDescent="0.2">
      <c r="A4" s="1" t="s">
        <v>12</v>
      </c>
      <c r="B4" s="1">
        <v>1116784757</v>
      </c>
      <c r="C4" s="1">
        <v>1130810671</v>
      </c>
      <c r="D4" s="1">
        <v>1147477409</v>
      </c>
      <c r="E4" s="1">
        <v>1234331646</v>
      </c>
      <c r="F4" s="1"/>
    </row>
    <row r="5" spans="1:6" x14ac:dyDescent="0.2">
      <c r="A5" s="1" t="s">
        <v>55</v>
      </c>
      <c r="B5" s="1">
        <v>68658000000</v>
      </c>
      <c r="C5" s="1">
        <v>69001000000</v>
      </c>
      <c r="D5" s="1"/>
      <c r="E5" s="1"/>
      <c r="F5" s="1"/>
    </row>
    <row r="6" spans="1:6" x14ac:dyDescent="0.2">
      <c r="A6" s="1" t="s">
        <v>13</v>
      </c>
      <c r="B6" s="1">
        <v>398488000000</v>
      </c>
      <c r="C6" s="1">
        <v>379895000000</v>
      </c>
      <c r="D6" s="1">
        <v>346845000000</v>
      </c>
      <c r="E6" s="1">
        <v>293984000000</v>
      </c>
      <c r="F6" s="1"/>
    </row>
    <row r="7" spans="1:6" x14ac:dyDescent="0.2">
      <c r="A7" s="1" t="s">
        <v>14</v>
      </c>
      <c r="B7" s="1">
        <v>113797000000</v>
      </c>
      <c r="C7" s="1">
        <v>118195000000</v>
      </c>
      <c r="D7" s="1">
        <v>114051000000</v>
      </c>
      <c r="E7" s="1">
        <v>112153000000</v>
      </c>
      <c r="F7" s="1"/>
    </row>
    <row r="8" spans="1:6" x14ac:dyDescent="0.2">
      <c r="A8" s="1" t="s">
        <v>15</v>
      </c>
      <c r="B8" s="1">
        <v>521130000000</v>
      </c>
      <c r="C8" s="1">
        <v>505184000000</v>
      </c>
      <c r="D8" s="1">
        <v>467529000000</v>
      </c>
      <c r="E8" s="1">
        <v>412146000000</v>
      </c>
      <c r="F8" s="1"/>
    </row>
    <row r="9" spans="1:6" x14ac:dyDescent="0.2">
      <c r="A9" s="1" t="s">
        <v>16</v>
      </c>
      <c r="B9" s="1">
        <v>113797000000</v>
      </c>
      <c r="C9" s="1">
        <v>118195000000</v>
      </c>
      <c r="D9" s="1">
        <v>114051000000</v>
      </c>
      <c r="E9" s="1">
        <v>112153000000</v>
      </c>
      <c r="F9" s="1"/>
    </row>
    <row r="10" spans="1:6" x14ac:dyDescent="0.2">
      <c r="A10" s="1" t="s">
        <v>17</v>
      </c>
      <c r="B10" s="1">
        <v>125513000000</v>
      </c>
      <c r="C10" s="1">
        <v>128137000000</v>
      </c>
      <c r="D10" s="1">
        <v>123742000000</v>
      </c>
      <c r="E10" s="1">
        <v>121237000000</v>
      </c>
      <c r="F10" s="1"/>
    </row>
    <row r="11" spans="1:6" x14ac:dyDescent="0.2">
      <c r="A11" s="1" t="s">
        <v>18</v>
      </c>
      <c r="B11" s="1">
        <v>521130000000</v>
      </c>
      <c r="C11" s="1">
        <v>505184000000</v>
      </c>
      <c r="D11" s="1">
        <v>467529000000</v>
      </c>
      <c r="E11" s="1">
        <v>412146000000</v>
      </c>
      <c r="F11" s="1"/>
    </row>
    <row r="12" spans="1:6" x14ac:dyDescent="0.2">
      <c r="A12" s="1" t="s">
        <v>19</v>
      </c>
      <c r="B12" s="1">
        <v>132173000000</v>
      </c>
      <c r="C12" s="1">
        <v>134141000000</v>
      </c>
      <c r="D12" s="1">
        <v>128867000000</v>
      </c>
      <c r="E12" s="1">
        <v>126010000000</v>
      </c>
      <c r="F12" s="1"/>
    </row>
    <row r="13" spans="1:6" x14ac:dyDescent="0.2">
      <c r="A13" s="1" t="s">
        <v>20</v>
      </c>
      <c r="B13" s="1">
        <v>6660000000</v>
      </c>
      <c r="C13" s="1">
        <v>6004000000</v>
      </c>
      <c r="D13" s="1">
        <v>5125000000</v>
      </c>
      <c r="E13" s="1">
        <v>4773000000</v>
      </c>
      <c r="F13" s="1"/>
    </row>
    <row r="14" spans="1:6" x14ac:dyDescent="0.2">
      <c r="A14" s="1" t="s">
        <v>21</v>
      </c>
      <c r="B14" s="1">
        <v>125513000000</v>
      </c>
      <c r="C14" s="1">
        <v>128137000000</v>
      </c>
      <c r="D14" s="1">
        <v>123742000000</v>
      </c>
      <c r="E14" s="1">
        <v>121237000000</v>
      </c>
      <c r="F14" s="1"/>
    </row>
    <row r="15" spans="1:6" x14ac:dyDescent="0.2">
      <c r="A15" s="1" t="s">
        <v>22</v>
      </c>
      <c r="B15" s="1">
        <v>6115000000</v>
      </c>
      <c r="C15" s="1">
        <v>9621000000</v>
      </c>
      <c r="D15" s="1">
        <v>10430000000</v>
      </c>
      <c r="E15" s="1">
        <v>8181000000</v>
      </c>
      <c r="F15" s="1"/>
    </row>
    <row r="16" spans="1:6" x14ac:dyDescent="0.2">
      <c r="A16" s="1" t="s">
        <v>23</v>
      </c>
      <c r="B16" s="1">
        <v>101570000000</v>
      </c>
      <c r="C16" s="1">
        <v>98383000000</v>
      </c>
      <c r="D16" s="1">
        <v>92110000000</v>
      </c>
      <c r="E16" s="1">
        <v>86866000000</v>
      </c>
      <c r="F16" s="1"/>
    </row>
    <row r="17" spans="1:6" x14ac:dyDescent="0.2">
      <c r="A17" s="1" t="s">
        <v>25</v>
      </c>
      <c r="B17" s="1">
        <v>17828000000</v>
      </c>
      <c r="C17" s="1">
        <v>20133000000</v>
      </c>
      <c r="D17" s="1">
        <v>21202000000</v>
      </c>
      <c r="E17" s="1">
        <v>26190000000</v>
      </c>
      <c r="F17" s="1"/>
    </row>
    <row r="18" spans="1:6" x14ac:dyDescent="0.2">
      <c r="A18" s="1" t="s">
        <v>26</v>
      </c>
      <c r="B18" s="1">
        <v>17828000000</v>
      </c>
      <c r="C18" s="1">
        <v>20133000000</v>
      </c>
      <c r="D18" s="1">
        <v>21202000000</v>
      </c>
      <c r="E18" s="1">
        <v>26190000000</v>
      </c>
      <c r="F18" s="1"/>
    </row>
    <row r="19" spans="1:6" x14ac:dyDescent="0.2">
      <c r="A19" s="1" t="s">
        <v>27</v>
      </c>
      <c r="B19" s="1">
        <v>2660808000000</v>
      </c>
      <c r="C19" s="1">
        <v>2570767000000</v>
      </c>
      <c r="D19" s="1">
        <v>2462632000000</v>
      </c>
      <c r="E19" s="1">
        <v>2537738000000</v>
      </c>
      <c r="F19" s="1"/>
    </row>
    <row r="20" spans="1:6" x14ac:dyDescent="0.2">
      <c r="A20" s="1" t="s">
        <v>28</v>
      </c>
      <c r="B20" s="1">
        <v>271408000000</v>
      </c>
      <c r="C20" s="1">
        <v>328121000000</v>
      </c>
      <c r="D20" s="1">
        <v>302728000000</v>
      </c>
      <c r="E20" s="1">
        <v>319921000000</v>
      </c>
      <c r="F20" s="1"/>
    </row>
    <row r="21" spans="1:6" x14ac:dyDescent="0.2">
      <c r="A21" s="1" t="s">
        <v>29</v>
      </c>
      <c r="B21" s="1">
        <v>398488000000</v>
      </c>
      <c r="C21" s="1">
        <v>379895000000</v>
      </c>
      <c r="D21" s="1">
        <v>346845000000</v>
      </c>
      <c r="E21" s="1">
        <v>293984000000</v>
      </c>
      <c r="F21" s="1"/>
    </row>
    <row r="22" spans="1:6" x14ac:dyDescent="0.2">
      <c r="A22" s="1" t="s">
        <v>30</v>
      </c>
      <c r="B22" s="1">
        <v>1793000000</v>
      </c>
      <c r="C22" s="1">
        <v>2346000000</v>
      </c>
      <c r="D22" s="1">
        <v>2725000000</v>
      </c>
      <c r="E22" s="1">
        <v>2042000000</v>
      </c>
      <c r="F22" s="1"/>
    </row>
    <row r="23" spans="1:6" x14ac:dyDescent="0.2">
      <c r="A23" s="1" t="s">
        <v>31</v>
      </c>
      <c r="B23" s="1">
        <v>37115000000</v>
      </c>
      <c r="C23" s="1">
        <v>36537000000</v>
      </c>
      <c r="D23" s="1">
        <v>41614000000</v>
      </c>
      <c r="E23" s="1">
        <v>44124000000</v>
      </c>
      <c r="F23" s="1"/>
    </row>
    <row r="24" spans="1:6" x14ac:dyDescent="0.2">
      <c r="A24" s="1" t="s">
        <v>32</v>
      </c>
      <c r="B24" s="1">
        <v>1793000000</v>
      </c>
      <c r="C24" s="1">
        <v>2346000000</v>
      </c>
      <c r="D24" s="1">
        <v>2725000000</v>
      </c>
      <c r="E24" s="1">
        <v>2042000000</v>
      </c>
      <c r="F24" s="1"/>
    </row>
    <row r="25" spans="1:6" x14ac:dyDescent="0.2">
      <c r="A25" s="1" t="s">
        <v>33</v>
      </c>
      <c r="B25" s="1">
        <v>2792981000000</v>
      </c>
      <c r="C25" s="1">
        <v>2704908000000</v>
      </c>
      <c r="D25" s="1">
        <v>2591499000000</v>
      </c>
      <c r="E25" s="1">
        <v>2663748000000</v>
      </c>
      <c r="F25" s="1"/>
    </row>
    <row r="26" spans="1:6" x14ac:dyDescent="0.2">
      <c r="A26" s="1" t="s">
        <v>35</v>
      </c>
      <c r="B26" s="1">
        <v>851597000000</v>
      </c>
      <c r="C26" s="1">
        <v>837958000000</v>
      </c>
      <c r="D26" s="1">
        <v>703205000000</v>
      </c>
      <c r="E26" s="1">
        <v>670086000000</v>
      </c>
      <c r="F26" s="1"/>
    </row>
    <row r="27" spans="1:6" x14ac:dyDescent="0.2">
      <c r="A27" s="1" t="s">
        <v>36</v>
      </c>
      <c r="B27" s="1">
        <v>844647000000</v>
      </c>
      <c r="C27" s="1">
        <v>830096000000</v>
      </c>
      <c r="D27" s="1">
        <v>696454000000</v>
      </c>
      <c r="E27" s="1">
        <v>664013000000</v>
      </c>
      <c r="F27" s="1"/>
    </row>
    <row r="28" spans="1:6" x14ac:dyDescent="0.2">
      <c r="A28" s="1" t="s">
        <v>37</v>
      </c>
      <c r="B28" s="1">
        <v>231047000000</v>
      </c>
      <c r="C28" s="1">
        <v>220015000000</v>
      </c>
      <c r="D28" s="1">
        <v>173710000000</v>
      </c>
      <c r="E28" s="1">
        <v>152080000000</v>
      </c>
      <c r="F28" s="1"/>
    </row>
    <row r="29" spans="1:6" x14ac:dyDescent="0.2">
      <c r="A29" s="1" t="s">
        <v>38</v>
      </c>
      <c r="B29" s="1">
        <v>12299000000</v>
      </c>
      <c r="C29" s="1">
        <v>10578000000</v>
      </c>
      <c r="D29" s="1">
        <v>9409000000</v>
      </c>
      <c r="E29" s="1">
        <v>8939000000</v>
      </c>
      <c r="F29" s="1"/>
    </row>
    <row r="30" spans="1:6" x14ac:dyDescent="0.2">
      <c r="A30" s="1" t="s">
        <v>39</v>
      </c>
      <c r="B30" s="1">
        <v>308994000000</v>
      </c>
      <c r="C30" s="1">
        <v>256779000000</v>
      </c>
      <c r="D30" s="1">
        <v>202225000000</v>
      </c>
      <c r="E30" s="1">
        <v>157138000000</v>
      </c>
      <c r="F30" s="1"/>
    </row>
    <row r="31" spans="1:6" x14ac:dyDescent="0.2">
      <c r="A31" s="1" t="s">
        <v>40</v>
      </c>
      <c r="B31" s="1">
        <v>6950000000</v>
      </c>
      <c r="C31" s="1">
        <v>7862000000</v>
      </c>
      <c r="D31" s="1">
        <v>6751000000</v>
      </c>
      <c r="E31" s="1">
        <v>6073000000</v>
      </c>
      <c r="F31" s="1"/>
    </row>
    <row r="32" spans="1:6" x14ac:dyDescent="0.2">
      <c r="A32" s="1" t="s">
        <v>41</v>
      </c>
      <c r="B32" s="1"/>
      <c r="C32" s="1">
        <v>1960000000</v>
      </c>
      <c r="D32" s="1">
        <v>1784000000</v>
      </c>
      <c r="E32" s="1">
        <v>1445000000</v>
      </c>
      <c r="F32" s="1">
        <v>1022000000</v>
      </c>
    </row>
    <row r="33" spans="1:6" x14ac:dyDescent="0.2">
      <c r="A33" s="1" t="s">
        <v>42</v>
      </c>
      <c r="B33" s="1"/>
      <c r="C33" s="1">
        <v>5902000000</v>
      </c>
      <c r="D33" s="1">
        <v>4967000000</v>
      </c>
      <c r="E33" s="1">
        <v>4628000000</v>
      </c>
      <c r="F33" s="1">
        <v>5506000000</v>
      </c>
    </row>
    <row r="34" spans="1:6" x14ac:dyDescent="0.2">
      <c r="A34" s="1" t="s">
        <v>43</v>
      </c>
      <c r="B34" s="1">
        <v>381000000</v>
      </c>
      <c r="C34" s="1">
        <v>524000000</v>
      </c>
      <c r="D34" s="1">
        <v>486000000</v>
      </c>
      <c r="E34" s="1">
        <v>529000000</v>
      </c>
      <c r="F34" s="1"/>
    </row>
    <row r="35" spans="1:6" x14ac:dyDescent="0.2">
      <c r="A35" s="1" t="s">
        <v>44</v>
      </c>
      <c r="B35" s="1">
        <v>11716000000</v>
      </c>
      <c r="C35" s="1">
        <v>9942000000</v>
      </c>
      <c r="D35" s="1">
        <v>9691000000</v>
      </c>
      <c r="E35" s="1">
        <v>9084000000</v>
      </c>
      <c r="F35" s="1"/>
    </row>
    <row r="36" spans="1:6" x14ac:dyDescent="0.2">
      <c r="A36" s="1" t="s">
        <v>45</v>
      </c>
      <c r="B36" s="1">
        <v>4583000000</v>
      </c>
      <c r="C36" s="1">
        <v>4392000000</v>
      </c>
      <c r="D36" s="1">
        <v>4142000000</v>
      </c>
      <c r="E36" s="1">
        <v>3790000000</v>
      </c>
      <c r="F36" s="1"/>
    </row>
    <row r="37" spans="1:6" x14ac:dyDescent="0.2">
      <c r="A37" s="1" t="s">
        <v>46</v>
      </c>
      <c r="B37" s="1">
        <v>7133000000</v>
      </c>
      <c r="C37" s="1">
        <v>5550000000</v>
      </c>
      <c r="D37" s="1">
        <v>5549000000</v>
      </c>
      <c r="E37" s="1">
        <v>5294000000</v>
      </c>
      <c r="F37" s="1"/>
    </row>
    <row r="38" spans="1:6" x14ac:dyDescent="0.2">
      <c r="A38" s="1" t="s">
        <v>47</v>
      </c>
      <c r="B38" s="1">
        <v>53220000000</v>
      </c>
      <c r="C38" s="1">
        <v>49790000000</v>
      </c>
      <c r="D38" s="1">
        <v>44736000000</v>
      </c>
      <c r="E38" s="1">
        <v>37939000000</v>
      </c>
      <c r="F38" s="1"/>
    </row>
    <row r="39" spans="1:6" x14ac:dyDescent="0.2">
      <c r="A39" s="1" t="s">
        <v>48</v>
      </c>
      <c r="B39" s="1">
        <v>-23654000000</v>
      </c>
      <c r="C39" s="1">
        <v>-22583000000</v>
      </c>
      <c r="D39" s="1">
        <v>-21646000000</v>
      </c>
      <c r="E39" s="1">
        <v>-21880000000</v>
      </c>
      <c r="F39" s="1"/>
    </row>
    <row r="40" spans="1:6" x14ac:dyDescent="0.2">
      <c r="A40" s="1" t="s">
        <v>49</v>
      </c>
      <c r="B40" s="1">
        <v>76874000000</v>
      </c>
      <c r="C40" s="1">
        <v>72373000000</v>
      </c>
      <c r="D40" s="1">
        <v>66382000000</v>
      </c>
      <c r="E40" s="1">
        <v>59819000000</v>
      </c>
      <c r="F40" s="1"/>
    </row>
    <row r="41" spans="1:6" x14ac:dyDescent="0.2">
      <c r="A41" s="1" t="s">
        <v>50</v>
      </c>
      <c r="B41" s="1">
        <v>58709000000</v>
      </c>
      <c r="C41" s="1">
        <v>54257000000</v>
      </c>
      <c r="D41" s="1">
        <v>48058000000</v>
      </c>
      <c r="E41" s="1">
        <v>41135000000</v>
      </c>
      <c r="F41" s="1"/>
    </row>
    <row r="42" spans="1:6" x14ac:dyDescent="0.2">
      <c r="A42" s="1" t="s">
        <v>56</v>
      </c>
      <c r="B42" s="1">
        <v>6912000000</v>
      </c>
      <c r="C42" s="1">
        <v>7067000000</v>
      </c>
      <c r="D42" s="1">
        <v>7007000000</v>
      </c>
      <c r="E42" s="1">
        <v>7177000000</v>
      </c>
      <c r="F42" s="1"/>
    </row>
    <row r="43" spans="1:6" x14ac:dyDescent="0.2">
      <c r="A43" s="1" t="s">
        <v>57</v>
      </c>
      <c r="B43" s="1">
        <v>11253000000</v>
      </c>
      <c r="C43" s="1">
        <v>11049000000</v>
      </c>
      <c r="D43" s="1">
        <v>11317000000</v>
      </c>
      <c r="E43" s="1">
        <v>11507000000</v>
      </c>
      <c r="F43" s="1"/>
    </row>
    <row r="44" spans="1:6" x14ac:dyDescent="0.2">
      <c r="A44" s="1" t="s">
        <v>58</v>
      </c>
      <c r="B44" s="1">
        <v>7527000000</v>
      </c>
      <c r="C44" s="1">
        <v>5686000000</v>
      </c>
      <c r="D44" s="1">
        <v>5400000000</v>
      </c>
      <c r="E44" s="1">
        <v>6839000000</v>
      </c>
      <c r="F44" s="1"/>
    </row>
    <row r="45" spans="1:6" x14ac:dyDescent="0.2">
      <c r="A45" s="1" t="s">
        <v>52</v>
      </c>
      <c r="B45" s="1">
        <v>2496000000</v>
      </c>
      <c r="C45" s="1">
        <v>2836000000</v>
      </c>
      <c r="D45" s="1">
        <v>2942000000</v>
      </c>
      <c r="E45" s="1">
        <v>1685000000</v>
      </c>
      <c r="F45" s="1"/>
    </row>
    <row r="46" spans="1:6" x14ac:dyDescent="0.2">
      <c r="A46" s="1" t="s">
        <v>53</v>
      </c>
      <c r="B46" s="1">
        <v>326959000000</v>
      </c>
      <c r="C46" s="1">
        <v>308046000000</v>
      </c>
      <c r="D46" s="1">
        <v>408219000000</v>
      </c>
      <c r="E46" s="1">
        <v>474919000000</v>
      </c>
      <c r="F46" s="1"/>
    </row>
    <row r="47" spans="1:6" x14ac:dyDescent="0.2">
      <c r="A47" s="1" t="s">
        <v>59</v>
      </c>
      <c r="B47" s="1">
        <v>211330000000</v>
      </c>
      <c r="C47" s="1">
        <v>182496000000</v>
      </c>
      <c r="D47" s="1">
        <v>288259000000</v>
      </c>
      <c r="E47" s="1">
        <v>318560000000</v>
      </c>
      <c r="F47" s="1"/>
    </row>
    <row r="48" spans="1:6" x14ac:dyDescent="0.2">
      <c r="A48" s="1" t="s">
        <v>54</v>
      </c>
      <c r="B48" s="1">
        <v>576860000000</v>
      </c>
      <c r="C48" s="1">
        <v>529234000000</v>
      </c>
      <c r="D48" s="1">
        <v>629892000000</v>
      </c>
      <c r="E48" s="1">
        <v>662196000000</v>
      </c>
      <c r="F48" s="1"/>
    </row>
    <row r="49" spans="1:6" x14ac:dyDescent="0.2">
      <c r="A49" s="1"/>
      <c r="B49" s="1"/>
      <c r="C49" s="1"/>
      <c r="D49" s="1"/>
      <c r="E49" s="1"/>
      <c r="F4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BF9E-C822-094D-A8CB-38ED8C8C92A7}">
  <dimension ref="A1:E62"/>
  <sheetViews>
    <sheetView workbookViewId="0"/>
  </sheetViews>
  <sheetFormatPr baseColWidth="10" defaultRowHeight="16" x14ac:dyDescent="0.2"/>
  <cols>
    <col min="1" max="1" width="39.1640625" bestFit="1" customWidth="1"/>
    <col min="2" max="5" width="15.6640625" bestFit="1" customWidth="1"/>
  </cols>
  <sheetData>
    <row r="1" spans="1:5" x14ac:dyDescent="0.2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</row>
    <row r="2" spans="1:5" x14ac:dyDescent="0.2">
      <c r="A2" s="1" t="s">
        <v>10</v>
      </c>
      <c r="B2" s="1">
        <v>7705713</v>
      </c>
      <c r="C2" s="1">
        <v>49575838</v>
      </c>
      <c r="D2" s="1">
        <v>48195109</v>
      </c>
      <c r="E2" s="1">
        <v>28931618</v>
      </c>
    </row>
    <row r="3" spans="1:5" x14ac:dyDescent="0.2">
      <c r="A3" s="1" t="s">
        <v>11</v>
      </c>
      <c r="B3" s="1">
        <v>1939573264</v>
      </c>
      <c r="C3" s="1">
        <v>1983625755</v>
      </c>
      <c r="D3" s="1">
        <v>2038347850</v>
      </c>
      <c r="E3" s="1">
        <v>2083441513</v>
      </c>
    </row>
    <row r="4" spans="1:5" x14ac:dyDescent="0.2">
      <c r="A4" s="1" t="s">
        <v>12</v>
      </c>
      <c r="B4" s="1">
        <v>1947278977</v>
      </c>
      <c r="C4" s="1">
        <v>2033201593</v>
      </c>
      <c r="D4" s="1">
        <v>2086542959</v>
      </c>
      <c r="E4" s="1">
        <v>2112373131</v>
      </c>
    </row>
    <row r="5" spans="1:5" x14ac:dyDescent="0.2">
      <c r="A5" s="1" t="s">
        <v>13</v>
      </c>
      <c r="B5" s="1">
        <v>164452000000</v>
      </c>
      <c r="C5" s="1">
        <v>151490000000</v>
      </c>
      <c r="D5" s="1">
        <v>144217000000</v>
      </c>
      <c r="E5" s="1">
        <v>146379000000</v>
      </c>
    </row>
    <row r="6" spans="1:5" x14ac:dyDescent="0.2">
      <c r="A6" s="1" t="s">
        <v>14</v>
      </c>
      <c r="B6" s="1">
        <v>71080000000</v>
      </c>
      <c r="C6" s="1">
        <v>70077000000</v>
      </c>
      <c r="D6" s="1">
        <v>65727000000</v>
      </c>
      <c r="E6" s="1">
        <v>63445000000</v>
      </c>
    </row>
    <row r="7" spans="1:5" x14ac:dyDescent="0.2">
      <c r="A7" s="1" t="s">
        <v>15</v>
      </c>
      <c r="B7" s="1">
        <v>238900000000</v>
      </c>
      <c r="C7" s="1">
        <v>224828000000</v>
      </c>
      <c r="D7" s="1">
        <v>212778000000</v>
      </c>
      <c r="E7" s="1">
        <v>212446000000</v>
      </c>
    </row>
    <row r="8" spans="1:5" x14ac:dyDescent="0.2">
      <c r="A8" s="1" t="s">
        <v>16</v>
      </c>
      <c r="B8" s="1">
        <v>71080000000</v>
      </c>
      <c r="C8" s="1">
        <v>70077000000</v>
      </c>
      <c r="D8" s="1">
        <v>65727000000</v>
      </c>
      <c r="E8" s="1">
        <v>63445000000</v>
      </c>
    </row>
    <row r="9" spans="1:5" x14ac:dyDescent="0.2">
      <c r="A9" s="1" t="s">
        <v>60</v>
      </c>
      <c r="B9" s="1">
        <v>4193000000</v>
      </c>
      <c r="C9" s="1">
        <v>4488000000</v>
      </c>
      <c r="D9" s="1">
        <v>4493000000</v>
      </c>
      <c r="E9" s="1">
        <v>4470000000</v>
      </c>
    </row>
    <row r="10" spans="1:5" x14ac:dyDescent="0.2">
      <c r="A10" s="1" t="s">
        <v>17</v>
      </c>
      <c r="B10" s="1">
        <v>78641000000</v>
      </c>
      <c r="C10" s="1">
        <v>77826000000</v>
      </c>
      <c r="D10" s="1">
        <v>73054000000</v>
      </c>
      <c r="E10" s="1">
        <v>70537000000</v>
      </c>
    </row>
    <row r="11" spans="1:5" x14ac:dyDescent="0.2">
      <c r="A11" s="1" t="s">
        <v>18</v>
      </c>
      <c r="B11" s="1">
        <v>220696000000</v>
      </c>
      <c r="C11" s="1">
        <v>214934000000</v>
      </c>
      <c r="D11" s="1">
        <v>203158000000</v>
      </c>
      <c r="E11" s="1">
        <v>207324000000</v>
      </c>
    </row>
    <row r="12" spans="1:5" x14ac:dyDescent="0.2">
      <c r="A12" s="1" t="s">
        <v>19</v>
      </c>
      <c r="B12" s="1">
        <v>80203000000</v>
      </c>
      <c r="C12" s="1">
        <v>79432000000</v>
      </c>
      <c r="D12" s="1">
        <v>74817000000</v>
      </c>
      <c r="E12" s="1">
        <v>72328000000</v>
      </c>
    </row>
    <row r="13" spans="1:5" x14ac:dyDescent="0.2">
      <c r="A13" s="1" t="s">
        <v>20</v>
      </c>
      <c r="B13" s="1">
        <v>1562000000</v>
      </c>
      <c r="C13" s="1">
        <v>1606000000</v>
      </c>
      <c r="D13" s="1">
        <v>1763000000</v>
      </c>
      <c r="E13" s="1">
        <v>1791000000</v>
      </c>
    </row>
    <row r="14" spans="1:5" x14ac:dyDescent="0.2">
      <c r="A14" s="1" t="s">
        <v>21</v>
      </c>
      <c r="B14" s="1">
        <v>78641000000</v>
      </c>
      <c r="C14" s="1">
        <v>77826000000</v>
      </c>
      <c r="D14" s="1">
        <v>73054000000</v>
      </c>
      <c r="E14" s="1">
        <v>70537000000</v>
      </c>
    </row>
    <row r="15" spans="1:5" x14ac:dyDescent="0.2">
      <c r="A15" s="1" t="s">
        <v>22</v>
      </c>
      <c r="B15" s="1">
        <v>11708000000</v>
      </c>
      <c r="C15" s="1">
        <v>11550000000</v>
      </c>
      <c r="D15" s="1">
        <v>8569000000</v>
      </c>
      <c r="E15" s="1">
        <v>8578000000</v>
      </c>
    </row>
    <row r="16" spans="1:5" x14ac:dyDescent="0.2">
      <c r="A16" s="1" t="s">
        <v>61</v>
      </c>
      <c r="B16" s="1">
        <v>-4150000000</v>
      </c>
      <c r="C16" s="1">
        <v>-1229000000</v>
      </c>
      <c r="D16" s="1">
        <v>-1760000000</v>
      </c>
      <c r="E16" s="1">
        <v>-1314000000</v>
      </c>
    </row>
    <row r="17" spans="1:5" x14ac:dyDescent="0.2">
      <c r="A17" s="1" t="s">
        <v>62</v>
      </c>
      <c r="B17" s="1">
        <v>185000000</v>
      </c>
      <c r="C17" s="1">
        <v>713000000</v>
      </c>
      <c r="D17" s="1">
        <v>481000000</v>
      </c>
      <c r="E17" s="1">
        <v>331000000</v>
      </c>
    </row>
    <row r="18" spans="1:5" x14ac:dyDescent="0.2">
      <c r="A18" s="1" t="s">
        <v>23</v>
      </c>
      <c r="B18" s="1">
        <v>28096000000</v>
      </c>
      <c r="C18" s="1">
        <v>23368000000</v>
      </c>
      <c r="D18" s="1">
        <v>21316000000</v>
      </c>
      <c r="E18" s="1">
        <v>17800000000</v>
      </c>
    </row>
    <row r="19" spans="1:5" x14ac:dyDescent="0.2">
      <c r="A19" s="1" t="s">
        <v>24</v>
      </c>
      <c r="B19" s="1">
        <v>38281000000</v>
      </c>
      <c r="C19" s="1">
        <v>39744000000</v>
      </c>
      <c r="D19" s="1">
        <v>40187000000</v>
      </c>
      <c r="E19" s="1">
        <v>40513000000</v>
      </c>
    </row>
    <row r="20" spans="1:5" x14ac:dyDescent="0.2">
      <c r="A20" s="1" t="s">
        <v>25</v>
      </c>
      <c r="B20" s="1">
        <v>4891000000</v>
      </c>
      <c r="C20" s="1">
        <v>5106000000</v>
      </c>
      <c r="D20" s="1">
        <v>5223000000</v>
      </c>
      <c r="E20" s="1">
        <v>5291000000</v>
      </c>
    </row>
    <row r="21" spans="1:5" x14ac:dyDescent="0.2">
      <c r="A21" s="1" t="s">
        <v>26</v>
      </c>
      <c r="B21" s="1">
        <v>4891000000</v>
      </c>
      <c r="C21" s="1">
        <v>5106000000</v>
      </c>
      <c r="D21" s="1">
        <v>5223000000</v>
      </c>
      <c r="E21" s="1">
        <v>5291000000</v>
      </c>
    </row>
    <row r="22" spans="1:5" x14ac:dyDescent="0.2">
      <c r="A22" s="1" t="s">
        <v>27</v>
      </c>
      <c r="B22" s="1">
        <v>1354864000000</v>
      </c>
      <c r="C22" s="1">
        <v>1307745000000</v>
      </c>
      <c r="D22" s="1">
        <v>1237514000000</v>
      </c>
      <c r="E22" s="1">
        <v>1264460000000</v>
      </c>
    </row>
    <row r="23" spans="1:5" x14ac:dyDescent="0.2">
      <c r="A23" s="1" t="s">
        <v>63</v>
      </c>
      <c r="B23" s="1">
        <v>283000000</v>
      </c>
      <c r="C23" s="1">
        <v>287000000</v>
      </c>
      <c r="D23" s="1">
        <v>289000000</v>
      </c>
      <c r="E23" s="1">
        <v>500000000</v>
      </c>
    </row>
    <row r="24" spans="1:5" x14ac:dyDescent="0.2">
      <c r="A24" s="1" t="s">
        <v>28</v>
      </c>
      <c r="B24" s="1">
        <v>225775000000</v>
      </c>
      <c r="C24" s="1">
        <v>276395000000</v>
      </c>
      <c r="D24" s="1">
        <v>238260000000</v>
      </c>
      <c r="E24" s="1">
        <v>282353000000</v>
      </c>
    </row>
    <row r="25" spans="1:5" x14ac:dyDescent="0.2">
      <c r="A25" s="1" t="s">
        <v>64</v>
      </c>
      <c r="B25" s="1">
        <v>623000000</v>
      </c>
      <c r="C25" s="1">
        <v>590000000</v>
      </c>
      <c r="D25" s="1">
        <v>546000000</v>
      </c>
      <c r="E25" s="1">
        <v>650000000</v>
      </c>
    </row>
    <row r="26" spans="1:5" x14ac:dyDescent="0.2">
      <c r="A26" s="1" t="s">
        <v>65</v>
      </c>
      <c r="B26" s="1">
        <v>623000000</v>
      </c>
      <c r="C26" s="1">
        <v>590000000</v>
      </c>
      <c r="D26" s="1">
        <v>546000000</v>
      </c>
      <c r="E26" s="1">
        <v>650000000</v>
      </c>
    </row>
    <row r="27" spans="1:5" x14ac:dyDescent="0.2">
      <c r="A27" s="1" t="s">
        <v>29</v>
      </c>
      <c r="B27" s="1">
        <v>146248000000</v>
      </c>
      <c r="C27" s="1">
        <v>141596000000</v>
      </c>
      <c r="D27" s="1">
        <v>134597000000</v>
      </c>
      <c r="E27" s="1">
        <v>141257000000</v>
      </c>
    </row>
    <row r="28" spans="1:5" x14ac:dyDescent="0.2">
      <c r="A28" s="1" t="s">
        <v>66</v>
      </c>
      <c r="B28" s="1">
        <v>4193000000</v>
      </c>
      <c r="C28" s="1">
        <v>4488000000</v>
      </c>
      <c r="D28" s="1">
        <v>4493000000</v>
      </c>
      <c r="E28" s="1">
        <v>4470000000</v>
      </c>
    </row>
    <row r="29" spans="1:5" x14ac:dyDescent="0.2">
      <c r="A29" s="1" t="s">
        <v>67</v>
      </c>
      <c r="B29" s="1">
        <v>142055000000</v>
      </c>
      <c r="C29" s="1">
        <v>137108000000</v>
      </c>
      <c r="D29" s="1">
        <v>130104000000</v>
      </c>
      <c r="E29" s="1">
        <v>136787000000</v>
      </c>
    </row>
    <row r="30" spans="1:5" x14ac:dyDescent="0.2">
      <c r="A30" s="1" t="s">
        <v>68</v>
      </c>
      <c r="B30" s="1">
        <v>2408000000</v>
      </c>
      <c r="C30" s="1">
        <v>3326000000</v>
      </c>
      <c r="D30" s="1">
        <v>2448000000</v>
      </c>
      <c r="E30" s="1">
        <v>2449000000</v>
      </c>
    </row>
    <row r="31" spans="1:5" x14ac:dyDescent="0.2">
      <c r="A31" s="1" t="s">
        <v>69</v>
      </c>
      <c r="B31" s="1">
        <v>18204000000</v>
      </c>
      <c r="C31" s="1">
        <v>9894000000</v>
      </c>
      <c r="D31" s="1">
        <v>9620000000</v>
      </c>
      <c r="E31" s="1">
        <v>5122000000</v>
      </c>
    </row>
    <row r="32" spans="1:5" x14ac:dyDescent="0.2">
      <c r="A32" s="1" t="s">
        <v>70</v>
      </c>
      <c r="B32" s="1">
        <v>18204000000</v>
      </c>
      <c r="C32" s="1">
        <v>9894000000</v>
      </c>
      <c r="D32" s="1">
        <v>9620000000</v>
      </c>
      <c r="E32" s="1">
        <v>5122000000</v>
      </c>
    </row>
    <row r="33" spans="1:5" x14ac:dyDescent="0.2">
      <c r="A33" s="1" t="s">
        <v>71</v>
      </c>
      <c r="B33" s="1">
        <v>4993000000</v>
      </c>
      <c r="C33" s="1">
        <v>3940000000</v>
      </c>
      <c r="D33" s="1">
        <v>4123000000</v>
      </c>
      <c r="E33" s="1">
        <v>3223000000</v>
      </c>
    </row>
    <row r="34" spans="1:5" x14ac:dyDescent="0.2">
      <c r="A34" s="1" t="s">
        <v>72</v>
      </c>
      <c r="B34" s="1">
        <v>13211000000</v>
      </c>
      <c r="C34" s="1">
        <v>5954000000</v>
      </c>
      <c r="D34" s="1">
        <v>5497000000</v>
      </c>
      <c r="E34" s="1">
        <v>1899000000</v>
      </c>
    </row>
    <row r="35" spans="1:5" x14ac:dyDescent="0.2">
      <c r="A35" s="1" t="s">
        <v>73</v>
      </c>
      <c r="B35" s="1">
        <v>112860000000</v>
      </c>
      <c r="C35" s="1">
        <v>69588000000</v>
      </c>
      <c r="D35" s="1">
        <v>86955000000</v>
      </c>
      <c r="E35" s="1">
        <v>85925000000</v>
      </c>
    </row>
    <row r="36" spans="1:5" x14ac:dyDescent="0.2">
      <c r="A36" s="1" t="s">
        <v>30</v>
      </c>
      <c r="B36" s="1">
        <v>112860000000</v>
      </c>
      <c r="C36" s="1">
        <v>69588000000</v>
      </c>
      <c r="D36" s="1">
        <v>86955000000</v>
      </c>
      <c r="E36" s="1">
        <v>85925000000</v>
      </c>
    </row>
    <row r="37" spans="1:5" x14ac:dyDescent="0.2">
      <c r="A37" s="1" t="s">
        <v>32</v>
      </c>
      <c r="B37" s="1">
        <v>694000000</v>
      </c>
      <c r="C37" s="1">
        <v>720000000</v>
      </c>
      <c r="D37" s="1">
        <v>631000000</v>
      </c>
      <c r="E37" s="1">
        <v>388000000</v>
      </c>
    </row>
    <row r="38" spans="1:5" x14ac:dyDescent="0.2">
      <c r="A38" s="1" t="s">
        <v>74</v>
      </c>
      <c r="B38" s="1">
        <v>694000000</v>
      </c>
      <c r="C38" s="1">
        <v>720000000</v>
      </c>
      <c r="D38" s="1">
        <v>631000000</v>
      </c>
      <c r="E38" s="1">
        <v>388000000</v>
      </c>
    </row>
    <row r="39" spans="1:5" x14ac:dyDescent="0.2">
      <c r="A39" s="1" t="s">
        <v>75</v>
      </c>
      <c r="B39" s="1">
        <v>112166000000</v>
      </c>
      <c r="C39" s="1">
        <v>68868000000</v>
      </c>
      <c r="D39" s="1">
        <v>86324000000</v>
      </c>
      <c r="E39" s="1">
        <v>85537000000</v>
      </c>
    </row>
    <row r="40" spans="1:5" x14ac:dyDescent="0.2">
      <c r="A40" s="1" t="s">
        <v>33</v>
      </c>
      <c r="B40" s="1">
        <v>1435067000000</v>
      </c>
      <c r="C40" s="1">
        <v>1387177000000</v>
      </c>
      <c r="D40" s="1">
        <v>1312331000000</v>
      </c>
      <c r="E40" s="1">
        <v>1336788000000</v>
      </c>
    </row>
    <row r="41" spans="1:5" x14ac:dyDescent="0.2">
      <c r="A41" s="1" t="s">
        <v>35</v>
      </c>
      <c r="B41" s="1">
        <v>229091000000</v>
      </c>
      <c r="C41" s="1">
        <v>192984000000</v>
      </c>
      <c r="D41" s="1">
        <v>177054000000</v>
      </c>
      <c r="E41" s="1">
        <v>144289000000</v>
      </c>
    </row>
    <row r="42" spans="1:5" x14ac:dyDescent="0.2">
      <c r="A42" s="1" t="s">
        <v>37</v>
      </c>
      <c r="B42" s="1">
        <v>49072000000</v>
      </c>
      <c r="C42" s="1">
        <v>29348000000</v>
      </c>
      <c r="D42" s="1">
        <v>30092000000</v>
      </c>
      <c r="E42" s="1">
        <v>32848000000</v>
      </c>
    </row>
    <row r="43" spans="1:5" x14ac:dyDescent="0.2">
      <c r="A43" s="1" t="s">
        <v>39</v>
      </c>
      <c r="B43" s="1">
        <v>141011000000</v>
      </c>
      <c r="C43" s="1">
        <v>128372000000</v>
      </c>
      <c r="D43" s="1">
        <v>117075000000</v>
      </c>
      <c r="E43" s="1">
        <v>84867000000</v>
      </c>
    </row>
    <row r="44" spans="1:5" x14ac:dyDescent="0.2">
      <c r="A44" s="1" t="s">
        <v>40</v>
      </c>
      <c r="B44" s="1">
        <v>924000000</v>
      </c>
      <c r="C44" s="1">
        <v>1028000000</v>
      </c>
      <c r="D44" s="1">
        <v>1013000000</v>
      </c>
      <c r="E44" s="1">
        <v>1124000000</v>
      </c>
    </row>
    <row r="45" spans="1:5" x14ac:dyDescent="0.2">
      <c r="A45" s="1" t="s">
        <v>44</v>
      </c>
      <c r="B45" s="1">
        <v>7561000000</v>
      </c>
      <c r="C45" s="1">
        <v>7749000000</v>
      </c>
      <c r="D45" s="1">
        <v>7327000000</v>
      </c>
      <c r="E45" s="1">
        <v>7092000000</v>
      </c>
    </row>
    <row r="46" spans="1:5" x14ac:dyDescent="0.2">
      <c r="A46" s="1" t="s">
        <v>45</v>
      </c>
      <c r="B46" s="1">
        <v>4825000000</v>
      </c>
      <c r="C46" s="1">
        <v>4787000000</v>
      </c>
      <c r="D46" s="1">
        <v>4479000000</v>
      </c>
      <c r="E46" s="1">
        <v>4173000000</v>
      </c>
    </row>
    <row r="47" spans="1:5" x14ac:dyDescent="0.2">
      <c r="A47" s="1" t="s">
        <v>46</v>
      </c>
      <c r="B47" s="1">
        <v>2736000000</v>
      </c>
      <c r="C47" s="1">
        <v>2962000000</v>
      </c>
      <c r="D47" s="1">
        <v>2848000000</v>
      </c>
      <c r="E47" s="1">
        <v>2919000000</v>
      </c>
    </row>
    <row r="48" spans="1:5" x14ac:dyDescent="0.2">
      <c r="A48" s="1" t="s">
        <v>47</v>
      </c>
      <c r="B48" s="1">
        <v>5923000000</v>
      </c>
      <c r="C48" s="1">
        <v>6193000000</v>
      </c>
      <c r="D48" s="1">
        <v>6184000000</v>
      </c>
      <c r="E48" s="1">
        <v>6103000000</v>
      </c>
    </row>
    <row r="49" spans="1:5" x14ac:dyDescent="0.2">
      <c r="A49" s="1" t="s">
        <v>48</v>
      </c>
      <c r="B49" s="1">
        <v>-7586000000</v>
      </c>
      <c r="C49" s="1">
        <v>-7291000000</v>
      </c>
      <c r="D49" s="1">
        <v>-6696000000</v>
      </c>
      <c r="E49" s="1">
        <v>-6760000000</v>
      </c>
    </row>
    <row r="50" spans="1:5" x14ac:dyDescent="0.2">
      <c r="A50" s="1" t="s">
        <v>49</v>
      </c>
      <c r="B50" s="1">
        <v>13509000000</v>
      </c>
      <c r="C50" s="1">
        <v>13484000000</v>
      </c>
      <c r="D50" s="1">
        <v>12880000000</v>
      </c>
      <c r="E50" s="1">
        <v>12863000000</v>
      </c>
    </row>
    <row r="51" spans="1:5" x14ac:dyDescent="0.2">
      <c r="A51" s="1" t="s">
        <v>76</v>
      </c>
      <c r="B51" s="1">
        <v>3429000000</v>
      </c>
      <c r="C51" s="1">
        <v>3298000000</v>
      </c>
      <c r="D51" s="1">
        <v>3078000000</v>
      </c>
      <c r="E51" s="1">
        <v>3523000000</v>
      </c>
    </row>
    <row r="52" spans="1:5" x14ac:dyDescent="0.2">
      <c r="A52" s="1" t="s">
        <v>77</v>
      </c>
      <c r="B52" s="1">
        <v>215000000</v>
      </c>
      <c r="C52" s="1">
        <v>360000000</v>
      </c>
      <c r="D52" s="1">
        <v>461000000</v>
      </c>
      <c r="E52" s="1">
        <v>216000000</v>
      </c>
    </row>
    <row r="53" spans="1:5" x14ac:dyDescent="0.2">
      <c r="A53" s="1" t="s">
        <v>50</v>
      </c>
      <c r="B53" s="1">
        <v>7484000000</v>
      </c>
      <c r="C53" s="1">
        <v>7395000000</v>
      </c>
      <c r="D53" s="1">
        <v>6948000000</v>
      </c>
      <c r="E53" s="1">
        <v>6690000000</v>
      </c>
    </row>
    <row r="54" spans="1:5" x14ac:dyDescent="0.2">
      <c r="A54" s="1" t="s">
        <v>56</v>
      </c>
      <c r="B54" s="1">
        <v>2381000000</v>
      </c>
      <c r="C54" s="1">
        <v>2431000000</v>
      </c>
      <c r="D54" s="1">
        <v>2393000000</v>
      </c>
      <c r="E54" s="1">
        <v>2434000000</v>
      </c>
    </row>
    <row r="55" spans="1:5" x14ac:dyDescent="0.2">
      <c r="A55" s="1" t="s">
        <v>58</v>
      </c>
      <c r="B55" s="1">
        <v>111575000000</v>
      </c>
      <c r="C55" s="1">
        <v>67066000000</v>
      </c>
      <c r="D55" s="1">
        <v>78237000000</v>
      </c>
      <c r="E55" s="1">
        <v>76422000000</v>
      </c>
    </row>
    <row r="56" spans="1:5" x14ac:dyDescent="0.2">
      <c r="A56" s="1" t="s">
        <v>78</v>
      </c>
      <c r="B56" s="1">
        <v>1609000000</v>
      </c>
      <c r="C56" s="1">
        <v>1801000000</v>
      </c>
      <c r="D56" s="1">
        <v>1513000000</v>
      </c>
      <c r="E56" s="1">
        <v>1584000000</v>
      </c>
    </row>
    <row r="57" spans="1:5" x14ac:dyDescent="0.2">
      <c r="A57" s="1" t="s">
        <v>79</v>
      </c>
      <c r="B57" s="1">
        <v>109966000000</v>
      </c>
      <c r="C57" s="1">
        <v>65265000000</v>
      </c>
      <c r="D57" s="1">
        <v>76724000000</v>
      </c>
      <c r="E57" s="1">
        <v>74838000000</v>
      </c>
    </row>
    <row r="58" spans="1:5" x14ac:dyDescent="0.2">
      <c r="A58" s="1" t="s">
        <v>80</v>
      </c>
      <c r="B58" s="1">
        <v>38084000000</v>
      </c>
      <c r="C58" s="1">
        <v>34236000000</v>
      </c>
      <c r="D58" s="1">
        <v>28874000000</v>
      </c>
      <c r="E58" s="1">
        <v>25450000000</v>
      </c>
    </row>
    <row r="59" spans="1:5" x14ac:dyDescent="0.2">
      <c r="A59" s="1" t="s">
        <v>53</v>
      </c>
      <c r="B59" s="1">
        <v>171621000000</v>
      </c>
      <c r="C59" s="1">
        <v>153654000000</v>
      </c>
      <c r="D59" s="1">
        <v>184556000000</v>
      </c>
      <c r="E59" s="1">
        <v>186091000000</v>
      </c>
    </row>
    <row r="60" spans="1:5" x14ac:dyDescent="0.2">
      <c r="A60" s="1" t="s">
        <v>59</v>
      </c>
      <c r="B60" s="1">
        <v>164659000000</v>
      </c>
      <c r="C60" s="1">
        <v>147494000000</v>
      </c>
      <c r="D60" s="1">
        <v>178416000000</v>
      </c>
      <c r="E60" s="1">
        <v>178896000000</v>
      </c>
    </row>
    <row r="61" spans="1:5" x14ac:dyDescent="0.2">
      <c r="A61" s="1" t="s">
        <v>54</v>
      </c>
      <c r="B61" s="1">
        <v>306060000000</v>
      </c>
      <c r="C61" s="1">
        <v>285979000000</v>
      </c>
      <c r="D61" s="1">
        <v>267023000000</v>
      </c>
      <c r="E61" s="1">
        <v>263580000000</v>
      </c>
    </row>
    <row r="62" spans="1:5" x14ac:dyDescent="0.2">
      <c r="A62" s="1"/>
      <c r="B62" s="1"/>
      <c r="C62" s="1"/>
      <c r="D62" s="1"/>
      <c r="E6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C877-3180-AF47-8132-4758B7264724}">
  <dimension ref="A1:L4"/>
  <sheetViews>
    <sheetView workbookViewId="0">
      <selection activeCell="L37" sqref="L37"/>
    </sheetView>
  </sheetViews>
  <sheetFormatPr baseColWidth="10" defaultRowHeight="16" x14ac:dyDescent="0.2"/>
  <cols>
    <col min="1" max="1" width="13.33203125" bestFit="1" customWidth="1"/>
    <col min="2" max="2" width="14.6640625" bestFit="1" customWidth="1"/>
    <col min="3" max="3" width="11.1640625" bestFit="1" customWidth="1"/>
    <col min="4" max="4" width="13.1640625" bestFit="1" customWidth="1"/>
    <col min="5" max="5" width="11.33203125" bestFit="1" customWidth="1"/>
    <col min="6" max="7" width="11.1640625" bestFit="1" customWidth="1"/>
    <col min="8" max="8" width="8.1640625" bestFit="1" customWidth="1"/>
    <col min="9" max="9" width="14.33203125" bestFit="1" customWidth="1"/>
    <col min="10" max="10" width="15" bestFit="1" customWidth="1"/>
    <col min="11" max="11" width="13.83203125" bestFit="1" customWidth="1"/>
    <col min="12" max="12" width="12.83203125" bestFit="1" customWidth="1"/>
  </cols>
  <sheetData>
    <row r="1" spans="1:12" x14ac:dyDescent="0.2">
      <c r="A1" s="3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33</v>
      </c>
      <c r="L1" s="3" t="s">
        <v>90</v>
      </c>
    </row>
    <row r="2" spans="1:12" x14ac:dyDescent="0.2">
      <c r="A2" s="1" t="s">
        <v>7</v>
      </c>
      <c r="B2">
        <v>373.9</v>
      </c>
      <c r="C2" s="1" t="s">
        <v>91</v>
      </c>
      <c r="D2">
        <v>51501977600</v>
      </c>
      <c r="E2">
        <v>79.587059999999994</v>
      </c>
      <c r="F2">
        <v>8.9023810000000001</v>
      </c>
      <c r="G2">
        <v>9.5719990000000005E-2</v>
      </c>
      <c r="H2">
        <v>4.7099999999999998E-3</v>
      </c>
      <c r="I2">
        <v>0.26743</v>
      </c>
      <c r="J2">
        <v>26818000896</v>
      </c>
      <c r="K2" s="1"/>
      <c r="L2">
        <v>4.6980000000000004</v>
      </c>
    </row>
    <row r="3" spans="1:12" x14ac:dyDescent="0.2">
      <c r="A3" s="1" t="s">
        <v>8</v>
      </c>
      <c r="B3">
        <v>82.13</v>
      </c>
      <c r="C3" s="1" t="s">
        <v>92</v>
      </c>
      <c r="D3">
        <v>91721531392</v>
      </c>
      <c r="E3">
        <v>0.78635436000000003</v>
      </c>
      <c r="F3">
        <v>7.9815354000000003</v>
      </c>
      <c r="G3">
        <v>9.6560000000000007E-2</v>
      </c>
      <c r="H3">
        <v>4.6800000000000001E-3</v>
      </c>
      <c r="I3">
        <v>0.25502002000000001</v>
      </c>
      <c r="J3">
        <v>47936999424</v>
      </c>
      <c r="K3" s="1"/>
      <c r="L3">
        <v>104.444</v>
      </c>
    </row>
    <row r="4" spans="1:12" x14ac:dyDescent="0.2">
      <c r="A4" s="1" t="s">
        <v>9</v>
      </c>
      <c r="B4">
        <v>24.76</v>
      </c>
      <c r="C4" s="1" t="s">
        <v>92</v>
      </c>
      <c r="D4">
        <v>48023834624</v>
      </c>
      <c r="E4">
        <v>0.58365940000000005</v>
      </c>
      <c r="F4">
        <v>8.0129450000000002</v>
      </c>
      <c r="G4">
        <v>8.3019999999999997E-2</v>
      </c>
      <c r="H4">
        <v>4.81E-3</v>
      </c>
      <c r="I4">
        <v>0.22222</v>
      </c>
      <c r="J4">
        <v>29727000576</v>
      </c>
      <c r="K4" s="1"/>
      <c r="L4">
        <v>42.421999999999997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D7CC-E72B-E245-A539-9833ADB77EC9}">
  <dimension ref="A1:D1527"/>
  <sheetViews>
    <sheetView workbookViewId="0"/>
  </sheetViews>
  <sheetFormatPr baseColWidth="10" defaultRowHeight="16" x14ac:dyDescent="0.2"/>
  <cols>
    <col min="1" max="1" width="15.33203125" bestFit="1" customWidth="1"/>
    <col min="2" max="2" width="12.1640625" bestFit="1" customWidth="1"/>
    <col min="3" max="3" width="14" bestFit="1" customWidth="1"/>
    <col min="4" max="4" width="16.1640625" bestFit="1" customWidth="1"/>
  </cols>
  <sheetData>
    <row r="1" spans="1:4" x14ac:dyDescent="0.2">
      <c r="A1" t="s">
        <v>93</v>
      </c>
      <c r="B1" t="s">
        <v>7</v>
      </c>
      <c r="C1" t="s">
        <v>8</v>
      </c>
      <c r="D1" t="s">
        <v>9</v>
      </c>
    </row>
    <row r="2" spans="1:4" x14ac:dyDescent="0.2">
      <c r="A2" s="2">
        <v>45004.958333333336</v>
      </c>
      <c r="C2">
        <v>41.828628540039062</v>
      </c>
      <c r="D2">
        <v>8.5051107406616211</v>
      </c>
    </row>
    <row r="3" spans="1:4" x14ac:dyDescent="0.2">
      <c r="A3" s="2">
        <v>45005</v>
      </c>
      <c r="B3">
        <v>136.22349548339844</v>
      </c>
    </row>
    <row r="4" spans="1:4" x14ac:dyDescent="0.2">
      <c r="A4" s="2">
        <v>45005.958333333336</v>
      </c>
      <c r="C4">
        <v>43.563529968261719</v>
      </c>
      <c r="D4">
        <v>9.0197954177856445</v>
      </c>
    </row>
    <row r="5" spans="1:4" x14ac:dyDescent="0.2">
      <c r="A5" s="2">
        <v>45006</v>
      </c>
      <c r="B5">
        <v>142.9967041015625</v>
      </c>
    </row>
    <row r="6" spans="1:4" x14ac:dyDescent="0.2">
      <c r="A6" s="2">
        <v>45006.958333333336</v>
      </c>
      <c r="C6">
        <v>43.348655700683594</v>
      </c>
      <c r="D6">
        <v>8.8311386108398438</v>
      </c>
    </row>
    <row r="7" spans="1:4" x14ac:dyDescent="0.2">
      <c r="A7" s="2">
        <v>45007</v>
      </c>
      <c r="B7">
        <v>142.51719665527344</v>
      </c>
    </row>
    <row r="8" spans="1:4" x14ac:dyDescent="0.2">
      <c r="A8" s="2">
        <v>45007.958333333336</v>
      </c>
      <c r="C8">
        <v>42.401622772216797</v>
      </c>
      <c r="D8">
        <v>8.5499868392944336</v>
      </c>
    </row>
    <row r="9" spans="1:4" x14ac:dyDescent="0.2">
      <c r="A9" s="2">
        <v>45008</v>
      </c>
      <c r="B9">
        <v>139.64006042480469</v>
      </c>
    </row>
    <row r="10" spans="1:4" x14ac:dyDescent="0.2">
      <c r="A10" s="2">
        <v>45008.958333333336</v>
      </c>
      <c r="C10">
        <v>40.165351867675781</v>
      </c>
      <c r="D10">
        <v>7.8210020065307617</v>
      </c>
    </row>
    <row r="11" spans="1:4" x14ac:dyDescent="0.2">
      <c r="A11" s="2">
        <v>45009</v>
      </c>
      <c r="B11">
        <v>133.76594543457031</v>
      </c>
    </row>
    <row r="12" spans="1:4" x14ac:dyDescent="0.2">
      <c r="A12" s="2">
        <v>45011.958333333336</v>
      </c>
      <c r="C12">
        <v>41.215843200683594</v>
      </c>
      <c r="D12">
        <v>8.3018026351928711</v>
      </c>
    </row>
    <row r="13" spans="1:4" x14ac:dyDescent="0.2">
      <c r="A13" s="2">
        <v>45012</v>
      </c>
      <c r="B13">
        <v>136.86283874511719</v>
      </c>
    </row>
    <row r="14" spans="1:4" x14ac:dyDescent="0.2">
      <c r="A14" s="2">
        <v>45012.958333333336</v>
      </c>
      <c r="C14">
        <v>41.359092712402344</v>
      </c>
      <c r="D14">
        <v>8.1708412170410156</v>
      </c>
    </row>
    <row r="15" spans="1:4" x14ac:dyDescent="0.2">
      <c r="A15" s="2">
        <v>45013</v>
      </c>
      <c r="B15">
        <v>137.04266357421875</v>
      </c>
    </row>
    <row r="16" spans="1:4" x14ac:dyDescent="0.2">
      <c r="A16" s="2">
        <v>45013.958333333336</v>
      </c>
      <c r="C16">
        <v>42.473243713378906</v>
      </c>
      <c r="D16">
        <v>8.3732337951660156</v>
      </c>
    </row>
    <row r="17" spans="1:4" x14ac:dyDescent="0.2">
      <c r="A17" s="2">
        <v>45014</v>
      </c>
      <c r="B17">
        <v>141.87782287597656</v>
      </c>
    </row>
    <row r="18" spans="1:4" x14ac:dyDescent="0.2">
      <c r="A18" s="2">
        <v>45014.958333333336</v>
      </c>
      <c r="C18">
        <v>43.396400451660156</v>
      </c>
      <c r="D18">
        <v>8.5069427490234375</v>
      </c>
    </row>
    <row r="19" spans="1:4" x14ac:dyDescent="0.2">
      <c r="A19" s="2">
        <v>45015</v>
      </c>
      <c r="B19">
        <v>144.67503356933594</v>
      </c>
    </row>
    <row r="20" spans="1:4" x14ac:dyDescent="0.2">
      <c r="A20" s="2">
        <v>45015.958333333336</v>
      </c>
      <c r="C20">
        <v>43.937564849853516</v>
      </c>
      <c r="D20">
        <v>8.5683021545410156</v>
      </c>
    </row>
    <row r="21" spans="1:4" x14ac:dyDescent="0.2">
      <c r="A21" s="2">
        <v>45016</v>
      </c>
      <c r="B21">
        <v>145.654052734375</v>
      </c>
    </row>
    <row r="22" spans="1:4" x14ac:dyDescent="0.2">
      <c r="A22" s="2">
        <v>45018.958333333336</v>
      </c>
      <c r="C22">
        <v>44.4071044921875</v>
      </c>
      <c r="D22">
        <v>8.668126106262207</v>
      </c>
    </row>
    <row r="23" spans="1:4" x14ac:dyDescent="0.2">
      <c r="A23" s="2">
        <v>45019</v>
      </c>
      <c r="B23">
        <v>148.111572265625</v>
      </c>
    </row>
    <row r="24" spans="1:4" x14ac:dyDescent="0.2">
      <c r="A24" s="2">
        <v>45019.958333333336</v>
      </c>
      <c r="C24">
        <v>44.83685302734375</v>
      </c>
      <c r="D24">
        <v>8.542658805847168</v>
      </c>
    </row>
    <row r="25" spans="1:4" x14ac:dyDescent="0.2">
      <c r="A25" s="2">
        <v>45020</v>
      </c>
      <c r="B25">
        <v>146.35334777832031</v>
      </c>
    </row>
    <row r="26" spans="1:4" x14ac:dyDescent="0.2">
      <c r="A26" s="2">
        <v>45020.958333333336</v>
      </c>
      <c r="C26">
        <v>44.430976867675781</v>
      </c>
      <c r="D26">
        <v>8.5170173645019531</v>
      </c>
    </row>
    <row r="27" spans="1:4" x14ac:dyDescent="0.2">
      <c r="A27" s="2">
        <v>45021</v>
      </c>
      <c r="B27">
        <v>147.57211303710938</v>
      </c>
    </row>
    <row r="28" spans="1:4" x14ac:dyDescent="0.2">
      <c r="A28" s="2">
        <v>45021.958333333336</v>
      </c>
      <c r="C28">
        <v>45.545139312744141</v>
      </c>
      <c r="D28">
        <v>8.6598834991455078</v>
      </c>
    </row>
    <row r="29" spans="1:4" x14ac:dyDescent="0.2">
      <c r="A29" s="2">
        <v>45022</v>
      </c>
      <c r="B29">
        <v>151.46821594238281</v>
      </c>
    </row>
    <row r="30" spans="1:4" x14ac:dyDescent="0.2">
      <c r="A30" s="2">
        <v>45026.958333333336</v>
      </c>
      <c r="C30">
        <v>45.298427581787109</v>
      </c>
      <c r="D30">
        <v>8.7597055435180664</v>
      </c>
    </row>
    <row r="31" spans="1:4" x14ac:dyDescent="0.2">
      <c r="A31" s="2">
        <v>45027</v>
      </c>
      <c r="B31">
        <v>152.38728332519531</v>
      </c>
    </row>
    <row r="32" spans="1:4" x14ac:dyDescent="0.2">
      <c r="A32" s="2">
        <v>45027.958333333336</v>
      </c>
      <c r="C32">
        <v>45.417800903320312</v>
      </c>
      <c r="D32">
        <v>8.7880954742431641</v>
      </c>
    </row>
    <row r="33" spans="1:4" x14ac:dyDescent="0.2">
      <c r="A33" s="2">
        <v>45028</v>
      </c>
      <c r="B33">
        <v>152.90678405761719</v>
      </c>
    </row>
    <row r="34" spans="1:4" x14ac:dyDescent="0.2">
      <c r="A34" s="2">
        <v>45028.958333333336</v>
      </c>
      <c r="C34">
        <v>45.791839599609375</v>
      </c>
      <c r="D34">
        <v>8.7175788879394531</v>
      </c>
    </row>
    <row r="35" spans="1:4" x14ac:dyDescent="0.2">
      <c r="A35" s="2">
        <v>45029</v>
      </c>
      <c r="B35">
        <v>152.78689575195312</v>
      </c>
    </row>
    <row r="36" spans="1:4" x14ac:dyDescent="0.2">
      <c r="A36" s="2">
        <v>45029.958333333336</v>
      </c>
      <c r="C36">
        <v>47.264122009277344</v>
      </c>
      <c r="D36">
        <v>9.1159553527832031</v>
      </c>
    </row>
    <row r="37" spans="1:4" x14ac:dyDescent="0.2">
      <c r="A37" s="2">
        <v>45030</v>
      </c>
      <c r="B37">
        <v>157.72195434570312</v>
      </c>
    </row>
    <row r="38" spans="1:4" x14ac:dyDescent="0.2">
      <c r="A38" s="2">
        <v>45032.958333333336</v>
      </c>
      <c r="C38">
        <v>46.309127807617188</v>
      </c>
      <c r="D38">
        <v>8.9135608673095703</v>
      </c>
    </row>
    <row r="39" spans="1:4" x14ac:dyDescent="0.2">
      <c r="A39" s="2">
        <v>45033</v>
      </c>
      <c r="B39">
        <v>154.12554931640625</v>
      </c>
    </row>
    <row r="40" spans="1:4" x14ac:dyDescent="0.2">
      <c r="A40" s="2">
        <v>45033.958333333336</v>
      </c>
      <c r="C40">
        <v>47.280040740966797</v>
      </c>
      <c r="D40">
        <v>9.0793228149414062</v>
      </c>
    </row>
    <row r="41" spans="1:4" x14ac:dyDescent="0.2">
      <c r="A41" s="2">
        <v>45034</v>
      </c>
      <c r="B41">
        <v>154.80487060546875</v>
      </c>
    </row>
    <row r="42" spans="1:4" x14ac:dyDescent="0.2">
      <c r="A42" s="2">
        <v>45034.958333333336</v>
      </c>
      <c r="C42">
        <v>47.431243896484375</v>
      </c>
      <c r="D42">
        <v>9.1635770797729492</v>
      </c>
    </row>
    <row r="43" spans="1:4" x14ac:dyDescent="0.2">
      <c r="A43" s="2">
        <v>45035</v>
      </c>
      <c r="B43">
        <v>155.24443054199219</v>
      </c>
    </row>
    <row r="44" spans="1:4" x14ac:dyDescent="0.2">
      <c r="A44" s="2">
        <v>45035.958333333336</v>
      </c>
      <c r="C44">
        <v>46.834373474121094</v>
      </c>
      <c r="D44">
        <v>9.0784072875976562</v>
      </c>
    </row>
    <row r="45" spans="1:4" x14ac:dyDescent="0.2">
      <c r="A45" s="2">
        <v>45036</v>
      </c>
      <c r="B45">
        <v>154.30538940429688</v>
      </c>
    </row>
    <row r="46" spans="1:4" x14ac:dyDescent="0.2">
      <c r="A46" s="2">
        <v>45036.958333333336</v>
      </c>
      <c r="C46">
        <v>46.683170318603516</v>
      </c>
      <c r="D46">
        <v>9.0619230270385742</v>
      </c>
    </row>
    <row r="47" spans="1:4" x14ac:dyDescent="0.2">
      <c r="A47" s="2">
        <v>45037</v>
      </c>
      <c r="B47">
        <v>153.08662414550781</v>
      </c>
    </row>
    <row r="48" spans="1:4" x14ac:dyDescent="0.2">
      <c r="A48" s="2">
        <v>45039.958333333336</v>
      </c>
      <c r="C48">
        <v>47.065166473388672</v>
      </c>
      <c r="D48">
        <v>9.0637540817260742</v>
      </c>
    </row>
    <row r="49" spans="1:4" x14ac:dyDescent="0.2">
      <c r="A49" s="2">
        <v>45040</v>
      </c>
      <c r="B49">
        <v>154.04562377929688</v>
      </c>
    </row>
    <row r="50" spans="1:4" x14ac:dyDescent="0.2">
      <c r="A50" s="2">
        <v>45040.958333333336</v>
      </c>
      <c r="C50">
        <v>45.943050384521484</v>
      </c>
      <c r="D50">
        <v>8.7166624069213867</v>
      </c>
    </row>
    <row r="51" spans="1:4" x14ac:dyDescent="0.2">
      <c r="A51" s="2">
        <v>45041</v>
      </c>
      <c r="B51">
        <v>151.30838012695312</v>
      </c>
    </row>
    <row r="52" spans="1:4" x14ac:dyDescent="0.2">
      <c r="A52" s="2">
        <v>45041.958333333336</v>
      </c>
      <c r="C52">
        <v>45.847549438476562</v>
      </c>
      <c r="D52">
        <v>8.7532958984375</v>
      </c>
    </row>
    <row r="53" spans="1:4" x14ac:dyDescent="0.2">
      <c r="A53" s="2">
        <v>45042</v>
      </c>
      <c r="B53">
        <v>153.70596313476562</v>
      </c>
    </row>
    <row r="54" spans="1:4" x14ac:dyDescent="0.2">
      <c r="A54" s="2">
        <v>45042.958333333336</v>
      </c>
      <c r="C54">
        <v>46.746833801269531</v>
      </c>
      <c r="D54">
        <v>8.969426155090332</v>
      </c>
    </row>
    <row r="55" spans="1:4" x14ac:dyDescent="0.2">
      <c r="A55" s="2">
        <v>45043</v>
      </c>
      <c r="B55">
        <v>161.87777709960938</v>
      </c>
    </row>
    <row r="56" spans="1:4" x14ac:dyDescent="0.2">
      <c r="A56" s="2">
        <v>45043.958333333336</v>
      </c>
      <c r="C56">
        <v>46.627460479736328</v>
      </c>
      <c r="D56">
        <v>9.1058807373046875</v>
      </c>
    </row>
    <row r="57" spans="1:4" x14ac:dyDescent="0.2">
      <c r="A57" s="2">
        <v>45044</v>
      </c>
      <c r="B57">
        <v>159.71995544433594</v>
      </c>
    </row>
    <row r="58" spans="1:4" x14ac:dyDescent="0.2">
      <c r="A58" s="2">
        <v>45047.958333333336</v>
      </c>
      <c r="C58">
        <v>45.330265045166016</v>
      </c>
      <c r="D58">
        <v>8.8219814300537109</v>
      </c>
    </row>
    <row r="59" spans="1:4" x14ac:dyDescent="0.2">
      <c r="A59" s="2">
        <v>45048</v>
      </c>
      <c r="B59">
        <v>154.78489685058594</v>
      </c>
    </row>
    <row r="60" spans="1:4" x14ac:dyDescent="0.2">
      <c r="A60" s="2">
        <v>45048.958333333336</v>
      </c>
      <c r="C60">
        <v>44.797061920166016</v>
      </c>
      <c r="D60">
        <v>8.7597055435180664</v>
      </c>
    </row>
    <row r="61" spans="1:4" x14ac:dyDescent="0.2">
      <c r="A61" s="2">
        <v>45049</v>
      </c>
      <c r="B61">
        <v>153.10655212402344</v>
      </c>
    </row>
    <row r="62" spans="1:4" x14ac:dyDescent="0.2">
      <c r="A62" s="2">
        <v>45049.958333333336</v>
      </c>
      <c r="C62">
        <v>44.518516540527344</v>
      </c>
      <c r="D62">
        <v>8.4684791564941406</v>
      </c>
    </row>
    <row r="63" spans="1:4" x14ac:dyDescent="0.2">
      <c r="A63" s="2">
        <v>45050</v>
      </c>
      <c r="B63">
        <v>148.09158325195312</v>
      </c>
    </row>
    <row r="64" spans="1:4" x14ac:dyDescent="0.2">
      <c r="A64" s="2">
        <v>45050.958333333336</v>
      </c>
      <c r="C64">
        <v>46.070381164550781</v>
      </c>
      <c r="D64">
        <v>8.8512868881225586</v>
      </c>
    </row>
    <row r="65" spans="1:4" x14ac:dyDescent="0.2">
      <c r="A65" s="2">
        <v>45051</v>
      </c>
      <c r="B65">
        <v>153.08662414550781</v>
      </c>
    </row>
    <row r="66" spans="1:4" x14ac:dyDescent="0.2">
      <c r="A66" s="2">
        <v>45053.958333333336</v>
      </c>
      <c r="C66">
        <v>46.388713836669922</v>
      </c>
      <c r="D66">
        <v>8.8595285415649414</v>
      </c>
    </row>
    <row r="67" spans="1:4" x14ac:dyDescent="0.2">
      <c r="A67" s="2">
        <v>45054.958333333336</v>
      </c>
      <c r="C67">
        <v>46.492168426513672</v>
      </c>
      <c r="D67">
        <v>8.8567819595336914</v>
      </c>
    </row>
    <row r="68" spans="1:4" x14ac:dyDescent="0.2">
      <c r="A68" s="2">
        <v>45055</v>
      </c>
      <c r="B68">
        <v>153.42626953125</v>
      </c>
    </row>
    <row r="69" spans="1:4" x14ac:dyDescent="0.2">
      <c r="A69" s="2">
        <v>45055.958333333336</v>
      </c>
      <c r="C69">
        <v>46.094253540039062</v>
      </c>
      <c r="D69">
        <v>8.8979930877685547</v>
      </c>
    </row>
    <row r="70" spans="1:4" x14ac:dyDescent="0.2">
      <c r="A70" s="2">
        <v>45056</v>
      </c>
      <c r="B70">
        <v>153.06661987304688</v>
      </c>
    </row>
    <row r="71" spans="1:4" x14ac:dyDescent="0.2">
      <c r="A71" s="2">
        <v>45056.958333333336</v>
      </c>
      <c r="C71">
        <v>45.640632629394531</v>
      </c>
      <c r="D71">
        <v>8.7807693481445312</v>
      </c>
    </row>
    <row r="72" spans="1:4" x14ac:dyDescent="0.2">
      <c r="A72" s="2">
        <v>45057</v>
      </c>
      <c r="B72">
        <v>153.32635498046875</v>
      </c>
    </row>
    <row r="73" spans="1:4" x14ac:dyDescent="0.2">
      <c r="A73" s="2">
        <v>45057.958333333336</v>
      </c>
      <c r="C73">
        <v>46.547878265380859</v>
      </c>
      <c r="D73">
        <v>8.8064126968383789</v>
      </c>
    </row>
    <row r="74" spans="1:4" x14ac:dyDescent="0.2">
      <c r="A74" s="2">
        <v>45058</v>
      </c>
      <c r="B74">
        <v>153.74594116210938</v>
      </c>
    </row>
    <row r="75" spans="1:4" x14ac:dyDescent="0.2">
      <c r="A75" s="2">
        <v>45060.958333333336</v>
      </c>
      <c r="C75">
        <v>46.667251586914062</v>
      </c>
      <c r="D75">
        <v>8.9034891128540039</v>
      </c>
    </row>
    <row r="76" spans="1:4" x14ac:dyDescent="0.2">
      <c r="A76" s="2">
        <v>45061</v>
      </c>
      <c r="B76">
        <v>154.86480712890625</v>
      </c>
    </row>
    <row r="77" spans="1:4" x14ac:dyDescent="0.2">
      <c r="A77" s="2">
        <v>45061.958333333336</v>
      </c>
      <c r="C77">
        <v>46.500125885009766</v>
      </c>
      <c r="D77">
        <v>8.7981700897216797</v>
      </c>
    </row>
    <row r="78" spans="1:4" x14ac:dyDescent="0.2">
      <c r="A78" s="2">
        <v>45062</v>
      </c>
      <c r="B78">
        <v>154.24542236328125</v>
      </c>
    </row>
    <row r="79" spans="1:4" x14ac:dyDescent="0.2">
      <c r="A79" s="2">
        <v>45062.958333333336</v>
      </c>
      <c r="C79">
        <v>46.659294128417969</v>
      </c>
      <c r="D79">
        <v>8.8750982284545898</v>
      </c>
    </row>
    <row r="80" spans="1:4" x14ac:dyDescent="0.2">
      <c r="A80" s="2">
        <v>45063</v>
      </c>
      <c r="B80">
        <v>155.80387878417969</v>
      </c>
    </row>
    <row r="81" spans="1:4" x14ac:dyDescent="0.2">
      <c r="A81" s="2">
        <v>45063.958333333336</v>
      </c>
      <c r="C81">
        <v>47.463077545166016</v>
      </c>
      <c r="D81">
        <v>9.2264041900634766</v>
      </c>
    </row>
    <row r="82" spans="1:4" x14ac:dyDescent="0.2">
      <c r="A82" s="2">
        <v>45064</v>
      </c>
      <c r="B82">
        <v>157.90176391601562</v>
      </c>
    </row>
    <row r="83" spans="1:4" x14ac:dyDescent="0.2">
      <c r="A83" s="2">
        <v>45064.958333333336</v>
      </c>
      <c r="C83">
        <v>47.630203247070312</v>
      </c>
      <c r="D83">
        <v>9.2453098297119141</v>
      </c>
    </row>
    <row r="84" spans="1:4" x14ac:dyDescent="0.2">
      <c r="A84" s="2">
        <v>45065</v>
      </c>
      <c r="B84">
        <v>159.26040649414062</v>
      </c>
    </row>
    <row r="85" spans="1:4" x14ac:dyDescent="0.2">
      <c r="A85" s="2">
        <v>45067.958333333336</v>
      </c>
      <c r="C85">
        <v>48.7879638671875</v>
      </c>
      <c r="D85">
        <v>9.3256626129150391</v>
      </c>
    </row>
    <row r="86" spans="1:4" x14ac:dyDescent="0.2">
      <c r="A86" s="2">
        <v>45068</v>
      </c>
      <c r="B86">
        <v>159.91975402832031</v>
      </c>
    </row>
    <row r="87" spans="1:4" x14ac:dyDescent="0.2">
      <c r="A87" s="2">
        <v>45068.958333333336</v>
      </c>
      <c r="C87">
        <v>48.592170715332031</v>
      </c>
      <c r="D87">
        <v>9.41925048828125</v>
      </c>
    </row>
    <row r="88" spans="1:4" x14ac:dyDescent="0.2">
      <c r="A88" s="2">
        <v>45069</v>
      </c>
      <c r="B88">
        <v>163.27639770507812</v>
      </c>
    </row>
    <row r="89" spans="1:4" x14ac:dyDescent="0.2">
      <c r="A89" s="2">
        <v>45069.958333333336</v>
      </c>
      <c r="C89">
        <v>47.706817626953125</v>
      </c>
      <c r="D89">
        <v>9.2037153244018555</v>
      </c>
    </row>
    <row r="90" spans="1:4" x14ac:dyDescent="0.2">
      <c r="A90" s="2">
        <v>45070</v>
      </c>
      <c r="B90">
        <v>158.50115966796875</v>
      </c>
    </row>
    <row r="91" spans="1:4" x14ac:dyDescent="0.2">
      <c r="A91" s="2">
        <v>45070.958333333336</v>
      </c>
      <c r="C91">
        <v>47.825996398925781</v>
      </c>
      <c r="D91">
        <v>9.1706295013427734</v>
      </c>
    </row>
    <row r="92" spans="1:4" x14ac:dyDescent="0.2">
      <c r="A92" s="2">
        <v>45071</v>
      </c>
      <c r="B92">
        <v>156.82284545898438</v>
      </c>
    </row>
    <row r="93" spans="1:4" x14ac:dyDescent="0.2">
      <c r="A93" s="2">
        <v>45071.958333333336</v>
      </c>
      <c r="C93">
        <v>47.936672210693359</v>
      </c>
      <c r="D93">
        <v>9.2093877792358398</v>
      </c>
    </row>
    <row r="94" spans="1:4" x14ac:dyDescent="0.2">
      <c r="A94" s="2">
        <v>45072</v>
      </c>
      <c r="B94">
        <v>157.16252136230469</v>
      </c>
    </row>
    <row r="95" spans="1:4" x14ac:dyDescent="0.2">
      <c r="A95" s="2">
        <v>45074.958333333336</v>
      </c>
      <c r="C95">
        <v>47.757896423339844</v>
      </c>
      <c r="D95">
        <v>9.1602296829223633</v>
      </c>
    </row>
    <row r="96" spans="1:4" x14ac:dyDescent="0.2">
      <c r="A96" s="2">
        <v>45075.958333333336</v>
      </c>
      <c r="C96">
        <v>47.068344116210938</v>
      </c>
      <c r="D96">
        <v>9.1186361312866211</v>
      </c>
    </row>
    <row r="97" spans="1:4" x14ac:dyDescent="0.2">
      <c r="A97" s="2">
        <v>45076</v>
      </c>
      <c r="B97">
        <v>155.64402770996094</v>
      </c>
    </row>
    <row r="98" spans="1:4" x14ac:dyDescent="0.2">
      <c r="A98" s="2">
        <v>45076.958333333336</v>
      </c>
      <c r="C98">
        <v>45.978679656982422</v>
      </c>
      <c r="D98">
        <v>8.9579305648803711</v>
      </c>
    </row>
    <row r="99" spans="1:4" x14ac:dyDescent="0.2">
      <c r="A99" s="2">
        <v>45077</v>
      </c>
      <c r="B99">
        <v>151.18850708007812</v>
      </c>
    </row>
    <row r="100" spans="1:4" x14ac:dyDescent="0.2">
      <c r="A100" s="2">
        <v>45077.958333333336</v>
      </c>
      <c r="C100">
        <v>46.370277404785156</v>
      </c>
      <c r="D100">
        <v>9.0543537139892578</v>
      </c>
    </row>
    <row r="101" spans="1:4" x14ac:dyDescent="0.2">
      <c r="A101" s="2">
        <v>45078</v>
      </c>
      <c r="B101">
        <v>152.46720886230469</v>
      </c>
    </row>
    <row r="102" spans="1:4" x14ac:dyDescent="0.2">
      <c r="A102" s="2">
        <v>45078.958333333336</v>
      </c>
      <c r="C102">
        <v>48.081390380859375</v>
      </c>
      <c r="D102">
        <v>9.3228282928466797</v>
      </c>
    </row>
    <row r="103" spans="1:4" x14ac:dyDescent="0.2">
      <c r="A103" s="2">
        <v>45079</v>
      </c>
      <c r="B103">
        <v>156.60307312011719</v>
      </c>
    </row>
    <row r="104" spans="1:4" x14ac:dyDescent="0.2">
      <c r="A104" s="2">
        <v>45081.958333333336</v>
      </c>
      <c r="C104">
        <v>47.604660034179688</v>
      </c>
      <c r="D104">
        <v>9.1659030914306641</v>
      </c>
    </row>
    <row r="105" spans="1:4" x14ac:dyDescent="0.2">
      <c r="A105" s="2">
        <v>45082</v>
      </c>
      <c r="B105">
        <v>155.62403869628906</v>
      </c>
    </row>
    <row r="106" spans="1:4" x14ac:dyDescent="0.2">
      <c r="A106" s="2">
        <v>45082.958333333336</v>
      </c>
      <c r="C106">
        <v>48.0728759765625</v>
      </c>
      <c r="D106">
        <v>9.2490921020507812</v>
      </c>
    </row>
    <row r="107" spans="1:4" x14ac:dyDescent="0.2">
      <c r="A107" s="2">
        <v>45083</v>
      </c>
      <c r="B107">
        <v>158.04164123535156</v>
      </c>
    </row>
    <row r="108" spans="1:4" x14ac:dyDescent="0.2">
      <c r="A108" s="2">
        <v>45083.958333333336</v>
      </c>
      <c r="C108">
        <v>48.319751739501953</v>
      </c>
      <c r="D108">
        <v>9.2755613327026367</v>
      </c>
    </row>
    <row r="109" spans="1:4" x14ac:dyDescent="0.2">
      <c r="A109" s="2">
        <v>45084</v>
      </c>
      <c r="B109">
        <v>158.08158874511719</v>
      </c>
    </row>
    <row r="110" spans="1:4" x14ac:dyDescent="0.2">
      <c r="A110" s="2">
        <v>45084.958333333336</v>
      </c>
      <c r="C110">
        <v>48.532573699951172</v>
      </c>
      <c r="D110">
        <v>9.3237724304199219</v>
      </c>
    </row>
    <row r="111" spans="1:4" x14ac:dyDescent="0.2">
      <c r="A111" s="2">
        <v>45085</v>
      </c>
      <c r="B111">
        <v>157.44224548339844</v>
      </c>
    </row>
    <row r="112" spans="1:4" x14ac:dyDescent="0.2">
      <c r="A112" s="2">
        <v>45085.958333333336</v>
      </c>
      <c r="C112">
        <v>47.732357025146484</v>
      </c>
      <c r="D112">
        <v>9.304865837097168</v>
      </c>
    </row>
    <row r="113" spans="1:4" x14ac:dyDescent="0.2">
      <c r="A113" s="2">
        <v>45086</v>
      </c>
      <c r="B113">
        <v>156.18350219726562</v>
      </c>
    </row>
    <row r="114" spans="1:4" x14ac:dyDescent="0.2">
      <c r="A114" s="2">
        <v>45088.958333333336</v>
      </c>
      <c r="C114">
        <v>48.038825988769531</v>
      </c>
      <c r="D114">
        <v>9.3171548843383789</v>
      </c>
    </row>
    <row r="115" spans="1:4" x14ac:dyDescent="0.2">
      <c r="A115" s="2">
        <v>45089</v>
      </c>
      <c r="B115">
        <v>155.08460998535156</v>
      </c>
    </row>
    <row r="116" spans="1:4" x14ac:dyDescent="0.2">
      <c r="A116" s="2">
        <v>45089.958333333336</v>
      </c>
      <c r="C116">
        <v>48.251651763916016</v>
      </c>
      <c r="D116">
        <v>9.3209362030029297</v>
      </c>
    </row>
    <row r="117" spans="1:4" x14ac:dyDescent="0.2">
      <c r="A117" s="2">
        <v>45090</v>
      </c>
      <c r="B117">
        <v>156.60307312011719</v>
      </c>
    </row>
    <row r="118" spans="1:4" x14ac:dyDescent="0.2">
      <c r="A118" s="2">
        <v>45090.958333333336</v>
      </c>
      <c r="C118">
        <v>48.966739654541016</v>
      </c>
      <c r="D118">
        <v>9.3871097564697266</v>
      </c>
    </row>
    <row r="119" spans="1:4" x14ac:dyDescent="0.2">
      <c r="A119" s="2">
        <v>45091</v>
      </c>
      <c r="B119">
        <v>157.28239440917969</v>
      </c>
    </row>
    <row r="120" spans="1:4" x14ac:dyDescent="0.2">
      <c r="A120" s="2">
        <v>45091.958333333336</v>
      </c>
      <c r="C120">
        <v>47.919643402099609</v>
      </c>
      <c r="D120">
        <v>9.1091823577880859</v>
      </c>
    </row>
    <row r="121" spans="1:4" x14ac:dyDescent="0.2">
      <c r="A121" s="2">
        <v>45092</v>
      </c>
      <c r="B121">
        <v>153.64604187011719</v>
      </c>
    </row>
    <row r="122" spans="1:4" x14ac:dyDescent="0.2">
      <c r="A122" s="2">
        <v>45092.958333333336</v>
      </c>
      <c r="C122">
        <v>48.158004760742188</v>
      </c>
      <c r="D122">
        <v>8.9891262054443359</v>
      </c>
    </row>
    <row r="123" spans="1:4" x14ac:dyDescent="0.2">
      <c r="A123" s="2">
        <v>45093</v>
      </c>
      <c r="B123">
        <v>153.785888671875</v>
      </c>
    </row>
    <row r="124" spans="1:4" x14ac:dyDescent="0.2">
      <c r="A124" s="2">
        <v>45095.958333333336</v>
      </c>
      <c r="C124">
        <v>48.362319946289062</v>
      </c>
      <c r="D124">
        <v>8.8908119201660156</v>
      </c>
    </row>
    <row r="125" spans="1:4" x14ac:dyDescent="0.2">
      <c r="A125" s="2">
        <v>45096</v>
      </c>
      <c r="B125">
        <v>153.30636596679688</v>
      </c>
    </row>
    <row r="126" spans="1:4" x14ac:dyDescent="0.2">
      <c r="A126" s="2">
        <v>45096.958333333336</v>
      </c>
      <c r="C126">
        <v>48.294208526611328</v>
      </c>
      <c r="D126">
        <v>8.816131591796875</v>
      </c>
    </row>
    <row r="127" spans="1:4" x14ac:dyDescent="0.2">
      <c r="A127" s="2">
        <v>45097</v>
      </c>
      <c r="B127">
        <v>154.16552734375</v>
      </c>
    </row>
    <row r="128" spans="1:4" x14ac:dyDescent="0.2">
      <c r="A128" s="2">
        <v>45097.958333333336</v>
      </c>
      <c r="C128">
        <v>48.558116912841797</v>
      </c>
      <c r="D128">
        <v>8.9201173782348633</v>
      </c>
    </row>
    <row r="129" spans="1:4" x14ac:dyDescent="0.2">
      <c r="A129" s="2">
        <v>45098</v>
      </c>
      <c r="B129">
        <v>151.30838012695312</v>
      </c>
    </row>
    <row r="130" spans="1:4" x14ac:dyDescent="0.2">
      <c r="A130" s="2">
        <v>45098.958333333336</v>
      </c>
      <c r="C130">
        <v>47.434402465820312</v>
      </c>
      <c r="D130">
        <v>8.7915525436401367</v>
      </c>
    </row>
    <row r="131" spans="1:4" x14ac:dyDescent="0.2">
      <c r="A131" s="2">
        <v>45099</v>
      </c>
      <c r="B131">
        <v>146.81288146972656</v>
      </c>
    </row>
    <row r="132" spans="1:4" x14ac:dyDescent="0.2">
      <c r="A132" s="2">
        <v>45099.958333333336</v>
      </c>
      <c r="C132">
        <v>46.693767547607422</v>
      </c>
      <c r="D132">
        <v>8.6639337539672852</v>
      </c>
    </row>
    <row r="133" spans="1:4" x14ac:dyDescent="0.2">
      <c r="A133" s="2">
        <v>45100</v>
      </c>
      <c r="B133">
        <v>145.07463073730469</v>
      </c>
    </row>
    <row r="134" spans="1:4" x14ac:dyDescent="0.2">
      <c r="A134" s="2">
        <v>45102.958333333336</v>
      </c>
      <c r="C134">
        <v>47.017261505126953</v>
      </c>
      <c r="D134">
        <v>8.6762228012084961</v>
      </c>
    </row>
    <row r="135" spans="1:4" x14ac:dyDescent="0.2">
      <c r="A135" s="2">
        <v>45103</v>
      </c>
      <c r="B135">
        <v>144.77493286132812</v>
      </c>
    </row>
    <row r="136" spans="1:4" x14ac:dyDescent="0.2">
      <c r="A136" s="2">
        <v>45103.958333333336</v>
      </c>
      <c r="C136">
        <v>47.391834259033203</v>
      </c>
      <c r="D136">
        <v>8.8322029113769531</v>
      </c>
    </row>
    <row r="137" spans="1:4" x14ac:dyDescent="0.2">
      <c r="A137" s="2">
        <v>45104</v>
      </c>
      <c r="B137">
        <v>146.17353820800781</v>
      </c>
    </row>
    <row r="138" spans="1:4" x14ac:dyDescent="0.2">
      <c r="A138" s="2">
        <v>45104.958333333336</v>
      </c>
      <c r="C138">
        <v>47.553585052490234</v>
      </c>
      <c r="D138">
        <v>8.8671798706054688</v>
      </c>
    </row>
    <row r="139" spans="1:4" x14ac:dyDescent="0.2">
      <c r="A139" s="2">
        <v>45105</v>
      </c>
      <c r="B139">
        <v>148.19149780273438</v>
      </c>
    </row>
    <row r="140" spans="1:4" x14ac:dyDescent="0.2">
      <c r="A140" s="2">
        <v>45105.958333333336</v>
      </c>
      <c r="C140">
        <v>48.345294952392578</v>
      </c>
      <c r="D140">
        <v>8.9976339340209961</v>
      </c>
    </row>
    <row r="141" spans="1:4" x14ac:dyDescent="0.2">
      <c r="A141" s="2">
        <v>45106</v>
      </c>
      <c r="B141">
        <v>151.16851806640625</v>
      </c>
    </row>
    <row r="142" spans="1:4" x14ac:dyDescent="0.2">
      <c r="A142" s="2">
        <v>45106.958333333336</v>
      </c>
      <c r="C142">
        <v>49.137001037597656</v>
      </c>
      <c r="D142">
        <v>9.0921669006347656</v>
      </c>
    </row>
    <row r="143" spans="1:4" x14ac:dyDescent="0.2">
      <c r="A143" s="2">
        <v>45107</v>
      </c>
      <c r="B143">
        <v>153.22647094726562</v>
      </c>
    </row>
    <row r="144" spans="1:4" x14ac:dyDescent="0.2">
      <c r="A144" s="2">
        <v>45109.958333333336</v>
      </c>
      <c r="C144">
        <v>49.741420745849609</v>
      </c>
      <c r="D144">
        <v>9.1980438232421875</v>
      </c>
    </row>
    <row r="145" spans="1:4" x14ac:dyDescent="0.2">
      <c r="A145" s="2">
        <v>45110</v>
      </c>
      <c r="B145">
        <v>155.46421813964844</v>
      </c>
    </row>
    <row r="146" spans="1:4" x14ac:dyDescent="0.2">
      <c r="A146" s="2">
        <v>45110.958333333336</v>
      </c>
      <c r="C146">
        <v>49.281723022460938</v>
      </c>
      <c r="D146">
        <v>9.1044559478759766</v>
      </c>
    </row>
    <row r="147" spans="1:4" x14ac:dyDescent="0.2">
      <c r="A147" s="2">
        <v>45111</v>
      </c>
      <c r="B147">
        <v>152.40728759765625</v>
      </c>
    </row>
    <row r="148" spans="1:4" x14ac:dyDescent="0.2">
      <c r="A148" s="2">
        <v>45111.958333333336</v>
      </c>
      <c r="C148">
        <v>48.813507080078125</v>
      </c>
      <c r="D148">
        <v>8.9749469757080078</v>
      </c>
    </row>
    <row r="149" spans="1:4" x14ac:dyDescent="0.2">
      <c r="A149" s="2">
        <v>45112</v>
      </c>
      <c r="B149">
        <v>149.88980102539062</v>
      </c>
    </row>
    <row r="150" spans="1:4" x14ac:dyDescent="0.2">
      <c r="A150" s="2">
        <v>45112.958333333336</v>
      </c>
      <c r="C150">
        <v>46.617153167724609</v>
      </c>
      <c r="D150">
        <v>8.5854711532592773</v>
      </c>
    </row>
    <row r="151" spans="1:4" x14ac:dyDescent="0.2">
      <c r="A151" s="2">
        <v>45113</v>
      </c>
      <c r="B151">
        <v>146.55313110351562</v>
      </c>
    </row>
    <row r="152" spans="1:4" x14ac:dyDescent="0.2">
      <c r="A152" s="2">
        <v>45113.958333333336</v>
      </c>
      <c r="C152">
        <v>46.923618316650391</v>
      </c>
      <c r="D152">
        <v>8.7688655853271484</v>
      </c>
    </row>
    <row r="153" spans="1:4" x14ac:dyDescent="0.2">
      <c r="A153" s="2">
        <v>45114</v>
      </c>
      <c r="B153">
        <v>148.57112121582031</v>
      </c>
    </row>
    <row r="154" spans="1:4" x14ac:dyDescent="0.2">
      <c r="A154" s="2">
        <v>45116.958333333336</v>
      </c>
      <c r="C154">
        <v>47.119419097900391</v>
      </c>
      <c r="D154">
        <v>8.9106636047363281</v>
      </c>
    </row>
    <row r="155" spans="1:4" x14ac:dyDescent="0.2">
      <c r="A155" s="2">
        <v>45117</v>
      </c>
      <c r="B155">
        <v>148.57112121582031</v>
      </c>
    </row>
    <row r="156" spans="1:4" x14ac:dyDescent="0.2">
      <c r="A156" s="2">
        <v>45117.958333333336</v>
      </c>
      <c r="C156">
        <v>47.808971405029297</v>
      </c>
      <c r="D156">
        <v>8.9588756561279297</v>
      </c>
    </row>
    <row r="157" spans="1:4" x14ac:dyDescent="0.2">
      <c r="A157" s="2">
        <v>45118</v>
      </c>
      <c r="B157">
        <v>149.70997619628906</v>
      </c>
    </row>
    <row r="158" spans="1:4" x14ac:dyDescent="0.2">
      <c r="A158" s="2">
        <v>45118.958333333336</v>
      </c>
      <c r="C158">
        <v>48.2686767578125</v>
      </c>
      <c r="D158">
        <v>8.9267349243164062</v>
      </c>
    </row>
    <row r="159" spans="1:4" x14ac:dyDescent="0.2">
      <c r="A159" s="2">
        <v>45119</v>
      </c>
      <c r="B159">
        <v>154.64505004882812</v>
      </c>
    </row>
    <row r="160" spans="1:4" x14ac:dyDescent="0.2">
      <c r="A160" s="2">
        <v>45119.958333333336</v>
      </c>
      <c r="C160">
        <v>48.532573699951172</v>
      </c>
      <c r="D160">
        <v>9.0685338973999023</v>
      </c>
    </row>
    <row r="161" spans="1:4" x14ac:dyDescent="0.2">
      <c r="A161" s="2">
        <v>45120</v>
      </c>
      <c r="B161">
        <v>155.54411315917969</v>
      </c>
    </row>
    <row r="162" spans="1:4" x14ac:dyDescent="0.2">
      <c r="A162" s="2">
        <v>45120.958333333336</v>
      </c>
      <c r="C162">
        <v>48.226112365722656</v>
      </c>
      <c r="D162">
        <v>9.0846042633056641</v>
      </c>
    </row>
    <row r="163" spans="1:4" x14ac:dyDescent="0.2">
      <c r="A163" s="2">
        <v>45121</v>
      </c>
      <c r="B163">
        <v>154.94473266601562</v>
      </c>
    </row>
    <row r="164" spans="1:4" x14ac:dyDescent="0.2">
      <c r="A164" s="2">
        <v>45123.958333333336</v>
      </c>
      <c r="C164">
        <v>48.277187347412109</v>
      </c>
      <c r="D164">
        <v>9.2991943359375</v>
      </c>
    </row>
    <row r="165" spans="1:4" x14ac:dyDescent="0.2">
      <c r="A165" s="2">
        <v>45124</v>
      </c>
      <c r="B165">
        <v>155.90376281738281</v>
      </c>
    </row>
    <row r="166" spans="1:4" x14ac:dyDescent="0.2">
      <c r="A166" s="2">
        <v>45124.958333333336</v>
      </c>
      <c r="C166">
        <v>49.043357849121094</v>
      </c>
      <c r="D166">
        <v>9.3568582534790039</v>
      </c>
    </row>
    <row r="167" spans="1:4" x14ac:dyDescent="0.2">
      <c r="A167" s="2">
        <v>45125</v>
      </c>
      <c r="B167">
        <v>159.22044372558594</v>
      </c>
    </row>
    <row r="168" spans="1:4" x14ac:dyDescent="0.2">
      <c r="A168" s="2">
        <v>45125.958333333336</v>
      </c>
      <c r="C168">
        <v>49.341312408447266</v>
      </c>
      <c r="D168">
        <v>9.5043296813964844</v>
      </c>
    </row>
    <row r="169" spans="1:4" x14ac:dyDescent="0.2">
      <c r="A169" s="2">
        <v>45126</v>
      </c>
      <c r="B169">
        <v>164.11553955078125</v>
      </c>
    </row>
    <row r="170" spans="1:4" x14ac:dyDescent="0.2">
      <c r="A170" s="2">
        <v>45126.958333333336</v>
      </c>
      <c r="C170">
        <v>49.417926788330078</v>
      </c>
      <c r="D170">
        <v>9.5667219161987305</v>
      </c>
    </row>
    <row r="171" spans="1:4" x14ac:dyDescent="0.2">
      <c r="A171" s="2">
        <v>45127</v>
      </c>
      <c r="B171">
        <v>164.19548034667969</v>
      </c>
    </row>
    <row r="172" spans="1:4" x14ac:dyDescent="0.2">
      <c r="A172" s="2">
        <v>45127.958333333336</v>
      </c>
      <c r="C172">
        <v>49.383876800537109</v>
      </c>
      <c r="D172">
        <v>9.6404581069946289</v>
      </c>
    </row>
    <row r="173" spans="1:4" x14ac:dyDescent="0.2">
      <c r="A173" s="2">
        <v>45128</v>
      </c>
      <c r="B173">
        <v>163.09657287597656</v>
      </c>
    </row>
    <row r="174" spans="1:4" x14ac:dyDescent="0.2">
      <c r="A174" s="2">
        <v>45130.958333333336</v>
      </c>
      <c r="C174">
        <v>49.690345764160156</v>
      </c>
      <c r="D174">
        <v>9.7123022079467773</v>
      </c>
    </row>
    <row r="175" spans="1:4" x14ac:dyDescent="0.2">
      <c r="A175" s="2">
        <v>45131</v>
      </c>
      <c r="B175">
        <v>164.19548034667969</v>
      </c>
    </row>
    <row r="176" spans="1:4" x14ac:dyDescent="0.2">
      <c r="A176" s="2">
        <v>45131.958333333336</v>
      </c>
      <c r="C176">
        <v>49.877632141113281</v>
      </c>
      <c r="D176">
        <v>9.8389759063720703</v>
      </c>
    </row>
    <row r="177" spans="1:4" x14ac:dyDescent="0.2">
      <c r="A177" s="2">
        <v>45132</v>
      </c>
      <c r="B177">
        <v>163.35630798339844</v>
      </c>
    </row>
    <row r="178" spans="1:4" x14ac:dyDescent="0.2">
      <c r="A178" s="2">
        <v>45132.958333333336</v>
      </c>
      <c r="C178">
        <v>49.477519989013672</v>
      </c>
      <c r="D178">
        <v>9.9732131958007812</v>
      </c>
    </row>
    <row r="179" spans="1:4" x14ac:dyDescent="0.2">
      <c r="A179" s="2">
        <v>45133</v>
      </c>
      <c r="B179">
        <v>163.895751953125</v>
      </c>
    </row>
    <row r="180" spans="1:4" x14ac:dyDescent="0.2">
      <c r="A180" s="2">
        <v>45133.958333333336</v>
      </c>
      <c r="C180">
        <v>50.950267791748047</v>
      </c>
      <c r="D180">
        <v>9.6404581069946289</v>
      </c>
    </row>
    <row r="181" spans="1:4" x14ac:dyDescent="0.2">
      <c r="A181" s="2">
        <v>45134</v>
      </c>
      <c r="B181">
        <v>155.24443054199219</v>
      </c>
    </row>
    <row r="182" spans="1:4" x14ac:dyDescent="0.2">
      <c r="A182" s="2">
        <v>45134.958333333336</v>
      </c>
      <c r="C182">
        <v>51.231197357177734</v>
      </c>
      <c r="D182">
        <v>9.5591592788696289</v>
      </c>
    </row>
    <row r="183" spans="1:4" x14ac:dyDescent="0.2">
      <c r="A183" s="2">
        <v>45135</v>
      </c>
      <c r="B183">
        <v>155.5841064453125</v>
      </c>
    </row>
    <row r="184" spans="1:4" x14ac:dyDescent="0.2">
      <c r="A184" s="2">
        <v>45137.958333333336</v>
      </c>
      <c r="C184">
        <v>51.094989776611328</v>
      </c>
      <c r="D184">
        <v>9.5289087295532227</v>
      </c>
    </row>
    <row r="185" spans="1:4" x14ac:dyDescent="0.2">
      <c r="A185" s="2">
        <v>45138</v>
      </c>
      <c r="B185">
        <v>154.80487060546875</v>
      </c>
    </row>
    <row r="186" spans="1:4" x14ac:dyDescent="0.2">
      <c r="A186" s="2">
        <v>45138.958333333336</v>
      </c>
      <c r="C186">
        <v>50.141532897949219</v>
      </c>
      <c r="D186">
        <v>9.4627351760864258</v>
      </c>
    </row>
    <row r="187" spans="1:4" x14ac:dyDescent="0.2">
      <c r="A187" s="2">
        <v>45139</v>
      </c>
      <c r="B187">
        <v>151.26840209960938</v>
      </c>
    </row>
    <row r="188" spans="1:4" x14ac:dyDescent="0.2">
      <c r="A188" s="2">
        <v>45139.958333333336</v>
      </c>
      <c r="C188">
        <v>49.043357849121094</v>
      </c>
      <c r="D188">
        <v>9.2453098297119141</v>
      </c>
    </row>
    <row r="189" spans="1:4" x14ac:dyDescent="0.2">
      <c r="A189" s="2">
        <v>45140</v>
      </c>
      <c r="B189">
        <v>146.31338500976562</v>
      </c>
    </row>
    <row r="190" spans="1:4" x14ac:dyDescent="0.2">
      <c r="A190" s="2">
        <v>45140.958333333336</v>
      </c>
      <c r="C190">
        <v>49.622241973876953</v>
      </c>
      <c r="D190">
        <v>9.4381570816040039</v>
      </c>
    </row>
    <row r="191" spans="1:4" x14ac:dyDescent="0.2">
      <c r="A191" s="2">
        <v>45141</v>
      </c>
      <c r="B191">
        <v>149.01069641113281</v>
      </c>
    </row>
    <row r="192" spans="1:4" x14ac:dyDescent="0.2">
      <c r="A192" s="2">
        <v>45141.958333333336</v>
      </c>
      <c r="C192">
        <v>50.473541259765625</v>
      </c>
      <c r="D192">
        <v>9.5081110000610352</v>
      </c>
    </row>
    <row r="193" spans="1:4" x14ac:dyDescent="0.2">
      <c r="A193" s="2">
        <v>45142</v>
      </c>
      <c r="B193">
        <v>150.589111328125</v>
      </c>
    </row>
    <row r="194" spans="1:4" x14ac:dyDescent="0.2">
      <c r="A194" s="2">
        <v>45144.958333333336</v>
      </c>
      <c r="C194">
        <v>50.694877624511719</v>
      </c>
      <c r="D194">
        <v>9.545924186706543</v>
      </c>
    </row>
    <row r="195" spans="1:4" x14ac:dyDescent="0.2">
      <c r="A195" s="2">
        <v>45145</v>
      </c>
      <c r="B195">
        <v>150.66902160644531</v>
      </c>
    </row>
    <row r="196" spans="1:4" x14ac:dyDescent="0.2">
      <c r="A196" s="2">
        <v>45145.958333333336</v>
      </c>
      <c r="C196">
        <v>49.171051025390625</v>
      </c>
      <c r="D196">
        <v>9.1791372299194336</v>
      </c>
    </row>
    <row r="197" spans="1:4" x14ac:dyDescent="0.2">
      <c r="A197" s="2">
        <v>45146</v>
      </c>
      <c r="B197">
        <v>146.93276977539062</v>
      </c>
    </row>
    <row r="198" spans="1:4" x14ac:dyDescent="0.2">
      <c r="A198" s="2">
        <v>45146.958333333336</v>
      </c>
      <c r="C198">
        <v>49.843574523925781</v>
      </c>
      <c r="D198">
        <v>9.3266086578369141</v>
      </c>
    </row>
    <row r="199" spans="1:4" x14ac:dyDescent="0.2">
      <c r="A199" s="2">
        <v>45147</v>
      </c>
      <c r="B199">
        <v>148.75091552734375</v>
      </c>
    </row>
    <row r="200" spans="1:4" x14ac:dyDescent="0.2">
      <c r="A200" s="2">
        <v>45147.958333333336</v>
      </c>
      <c r="C200">
        <v>51.333351135253906</v>
      </c>
      <c r="D200">
        <v>9.4646263122558594</v>
      </c>
    </row>
    <row r="201" spans="1:4" x14ac:dyDescent="0.2">
      <c r="A201" s="2">
        <v>45148</v>
      </c>
      <c r="B201">
        <v>147.87864685058594</v>
      </c>
    </row>
    <row r="202" spans="1:4" x14ac:dyDescent="0.2">
      <c r="A202" s="2">
        <v>45148.958333333336</v>
      </c>
      <c r="C202">
        <v>50.694877624511719</v>
      </c>
      <c r="D202">
        <v>9.3975086212158203</v>
      </c>
    </row>
    <row r="203" spans="1:4" x14ac:dyDescent="0.2">
      <c r="A203" s="2">
        <v>45149</v>
      </c>
      <c r="B203">
        <v>146.47979736328125</v>
      </c>
    </row>
    <row r="204" spans="1:4" x14ac:dyDescent="0.2">
      <c r="A204" s="2">
        <v>45151.958333333336</v>
      </c>
      <c r="C204">
        <v>50.805545806884766</v>
      </c>
      <c r="D204">
        <v>9.4305944442749023</v>
      </c>
    </row>
    <row r="205" spans="1:4" x14ac:dyDescent="0.2">
      <c r="A205" s="2">
        <v>45152</v>
      </c>
      <c r="B205">
        <v>145.76039123535156</v>
      </c>
    </row>
    <row r="206" spans="1:4" x14ac:dyDescent="0.2">
      <c r="A206" s="2">
        <v>45152.958333333336</v>
      </c>
      <c r="C206">
        <v>50.039379119873047</v>
      </c>
      <c r="D206">
        <v>9.3776569366455078</v>
      </c>
    </row>
    <row r="207" spans="1:4" x14ac:dyDescent="0.2">
      <c r="A207" s="2">
        <v>45153</v>
      </c>
      <c r="B207">
        <v>143.42230224609375</v>
      </c>
    </row>
    <row r="208" spans="1:4" x14ac:dyDescent="0.2">
      <c r="A208" s="2">
        <v>45153.958333333336</v>
      </c>
      <c r="C208">
        <v>49.783985137939453</v>
      </c>
      <c r="D208">
        <v>9.3275537490844727</v>
      </c>
    </row>
    <row r="209" spans="1:4" x14ac:dyDescent="0.2">
      <c r="A209" s="2">
        <v>45154</v>
      </c>
      <c r="B209">
        <v>144.88111877441406</v>
      </c>
    </row>
    <row r="210" spans="1:4" x14ac:dyDescent="0.2">
      <c r="A210" s="2">
        <v>45154.958333333336</v>
      </c>
      <c r="C210">
        <v>49.903163909912109</v>
      </c>
      <c r="D210">
        <v>9.3682022094726562</v>
      </c>
    </row>
    <row r="211" spans="1:4" x14ac:dyDescent="0.2">
      <c r="A211" s="2">
        <v>45155</v>
      </c>
      <c r="B211">
        <v>145.30076599121094</v>
      </c>
    </row>
    <row r="212" spans="1:4" x14ac:dyDescent="0.2">
      <c r="A212" s="2">
        <v>45155.958333333336</v>
      </c>
      <c r="C212">
        <v>49.562652587890625</v>
      </c>
      <c r="D212">
        <v>9.3303899765014648</v>
      </c>
    </row>
    <row r="213" spans="1:4" x14ac:dyDescent="0.2">
      <c r="A213" s="2">
        <v>45156</v>
      </c>
      <c r="B213">
        <v>144.12174987792969</v>
      </c>
    </row>
    <row r="214" spans="1:4" x14ac:dyDescent="0.2">
      <c r="A214" s="2">
        <v>45158.958333333336</v>
      </c>
      <c r="C214">
        <v>49.664806365966797</v>
      </c>
      <c r="D214">
        <v>9.2613801956176758</v>
      </c>
    </row>
    <row r="215" spans="1:4" x14ac:dyDescent="0.2">
      <c r="A215" s="2">
        <v>45159</v>
      </c>
      <c r="B215">
        <v>143.54220581054688</v>
      </c>
    </row>
    <row r="216" spans="1:4" x14ac:dyDescent="0.2">
      <c r="A216" s="2">
        <v>45159.958333333336</v>
      </c>
      <c r="C216">
        <v>49.843574523925781</v>
      </c>
      <c r="D216">
        <v>9.2850131988525391</v>
      </c>
    </row>
    <row r="217" spans="1:4" x14ac:dyDescent="0.2">
      <c r="A217" s="2">
        <v>45160</v>
      </c>
      <c r="B217">
        <v>142.58299255371094</v>
      </c>
    </row>
    <row r="218" spans="1:4" x14ac:dyDescent="0.2">
      <c r="A218" s="2">
        <v>45160.958333333336</v>
      </c>
      <c r="C218">
        <v>49.809528350830078</v>
      </c>
      <c r="D218">
        <v>9.2954130172729492</v>
      </c>
    </row>
    <row r="219" spans="1:4" x14ac:dyDescent="0.2">
      <c r="A219" s="2">
        <v>45161</v>
      </c>
      <c r="B219">
        <v>142.92271423339844</v>
      </c>
    </row>
    <row r="220" spans="1:4" x14ac:dyDescent="0.2">
      <c r="A220" s="2">
        <v>45161.958333333336</v>
      </c>
      <c r="C220">
        <v>49.749935150146484</v>
      </c>
      <c r="D220">
        <v>9.3833274841308594</v>
      </c>
    </row>
    <row r="221" spans="1:4" x14ac:dyDescent="0.2">
      <c r="A221" s="2">
        <v>45162</v>
      </c>
      <c r="B221">
        <v>144.42147827148438</v>
      </c>
    </row>
    <row r="222" spans="1:4" x14ac:dyDescent="0.2">
      <c r="A222" s="2">
        <v>45162.958333333336</v>
      </c>
      <c r="C222">
        <v>49.639266967773438</v>
      </c>
      <c r="D222">
        <v>9.3549680709838867</v>
      </c>
    </row>
    <row r="223" spans="1:4" x14ac:dyDescent="0.2">
      <c r="A223" s="2">
        <v>45163</v>
      </c>
      <c r="B223">
        <v>143.86195373535156</v>
      </c>
    </row>
    <row r="224" spans="1:4" x14ac:dyDescent="0.2">
      <c r="A224" s="2">
        <v>45165.958333333336</v>
      </c>
      <c r="C224">
        <v>50.652313232421875</v>
      </c>
      <c r="D224">
        <v>9.5780658721923828</v>
      </c>
    </row>
    <row r="225" spans="1:4" x14ac:dyDescent="0.2">
      <c r="A225" s="2">
        <v>45166.958333333336</v>
      </c>
      <c r="C225">
        <v>50.992832183837891</v>
      </c>
      <c r="D225">
        <v>9.708521842956543</v>
      </c>
    </row>
    <row r="226" spans="1:4" x14ac:dyDescent="0.2">
      <c r="A226" s="2">
        <v>45167</v>
      </c>
      <c r="B226">
        <v>149.8370361328125</v>
      </c>
    </row>
    <row r="227" spans="1:4" x14ac:dyDescent="0.2">
      <c r="A227" s="2">
        <v>45167.958333333336</v>
      </c>
      <c r="C227">
        <v>50.975807189941406</v>
      </c>
      <c r="D227">
        <v>9.6328945159912109</v>
      </c>
    </row>
    <row r="228" spans="1:4" x14ac:dyDescent="0.2">
      <c r="A228" s="2">
        <v>45168</v>
      </c>
      <c r="B228">
        <v>148.91778564453125</v>
      </c>
    </row>
    <row r="229" spans="1:4" x14ac:dyDescent="0.2">
      <c r="A229" s="2">
        <v>45168.958333333336</v>
      </c>
      <c r="C229">
        <v>50.831085205078125</v>
      </c>
      <c r="D229">
        <v>9.5024404525756836</v>
      </c>
    </row>
    <row r="230" spans="1:4" x14ac:dyDescent="0.2">
      <c r="A230" s="2">
        <v>45169</v>
      </c>
      <c r="B230">
        <v>147.23918151855469</v>
      </c>
    </row>
    <row r="231" spans="1:4" x14ac:dyDescent="0.2">
      <c r="A231" s="2">
        <v>45169.958333333336</v>
      </c>
      <c r="C231">
        <v>50.728927612304688</v>
      </c>
      <c r="D231">
        <v>9.532689094543457</v>
      </c>
    </row>
    <row r="232" spans="1:4" x14ac:dyDescent="0.2">
      <c r="A232" s="2">
        <v>45170</v>
      </c>
      <c r="B232">
        <v>148.93777465820312</v>
      </c>
    </row>
    <row r="233" spans="1:4" x14ac:dyDescent="0.2">
      <c r="A233" s="2">
        <v>45172.958333333336</v>
      </c>
      <c r="C233">
        <v>50.601234436035156</v>
      </c>
      <c r="D233">
        <v>9.5081110000610352</v>
      </c>
    </row>
    <row r="234" spans="1:4" x14ac:dyDescent="0.2">
      <c r="A234" s="2">
        <v>45173</v>
      </c>
      <c r="B234">
        <v>150.67636108398438</v>
      </c>
    </row>
    <row r="235" spans="1:4" x14ac:dyDescent="0.2">
      <c r="A235" s="2">
        <v>45173.958333333336</v>
      </c>
      <c r="C235">
        <v>50.558670043945312</v>
      </c>
      <c r="D235">
        <v>9.2264041900634766</v>
      </c>
    </row>
    <row r="236" spans="1:4" x14ac:dyDescent="0.2">
      <c r="A236" s="2">
        <v>45174</v>
      </c>
      <c r="B236">
        <v>149.51731872558594</v>
      </c>
    </row>
    <row r="237" spans="1:4" x14ac:dyDescent="0.2">
      <c r="A237" s="2">
        <v>45174.958333333336</v>
      </c>
      <c r="C237">
        <v>49.886142730712891</v>
      </c>
      <c r="D237">
        <v>9.0477371215820312</v>
      </c>
    </row>
    <row r="238" spans="1:4" x14ac:dyDescent="0.2">
      <c r="A238" s="2">
        <v>45175</v>
      </c>
      <c r="B238">
        <v>149.09765625</v>
      </c>
    </row>
    <row r="239" spans="1:4" x14ac:dyDescent="0.2">
      <c r="A239" s="2">
        <v>45175.958333333336</v>
      </c>
      <c r="C239">
        <v>49.860603332519531</v>
      </c>
      <c r="D239">
        <v>9.0600261688232422</v>
      </c>
    </row>
    <row r="240" spans="1:4" x14ac:dyDescent="0.2">
      <c r="A240" s="2">
        <v>45176</v>
      </c>
      <c r="B240">
        <v>147.85865783691406</v>
      </c>
    </row>
    <row r="241" spans="1:4" x14ac:dyDescent="0.2">
      <c r="A241" s="2">
        <v>45176.958333333336</v>
      </c>
      <c r="C241">
        <v>49.741420745849609</v>
      </c>
      <c r="D241">
        <v>9.1243085861206055</v>
      </c>
    </row>
    <row r="242" spans="1:4" x14ac:dyDescent="0.2">
      <c r="A242" s="2">
        <v>45177</v>
      </c>
      <c r="B242">
        <v>148.11843872070312</v>
      </c>
    </row>
    <row r="243" spans="1:4" x14ac:dyDescent="0.2">
      <c r="A243" s="2">
        <v>45179.958333333336</v>
      </c>
      <c r="C243">
        <v>50.660823822021484</v>
      </c>
      <c r="D243">
        <v>9.2991943359375</v>
      </c>
    </row>
    <row r="244" spans="1:4" x14ac:dyDescent="0.2">
      <c r="A244" s="2">
        <v>45180</v>
      </c>
      <c r="B244">
        <v>149.777099609375</v>
      </c>
    </row>
    <row r="245" spans="1:4" x14ac:dyDescent="0.2">
      <c r="A245" s="2">
        <v>45180.958333333336</v>
      </c>
      <c r="C245">
        <v>50.967292785644531</v>
      </c>
      <c r="D245">
        <v>9.298248291015625</v>
      </c>
    </row>
    <row r="246" spans="1:4" x14ac:dyDescent="0.2">
      <c r="A246" s="2">
        <v>45181</v>
      </c>
      <c r="B246">
        <v>153.45408630371094</v>
      </c>
    </row>
    <row r="247" spans="1:4" x14ac:dyDescent="0.2">
      <c r="A247" s="2">
        <v>45181.958333333336</v>
      </c>
      <c r="C247">
        <v>50.984317779541016</v>
      </c>
      <c r="D247">
        <v>9.5629405975341797</v>
      </c>
    </row>
    <row r="248" spans="1:4" x14ac:dyDescent="0.2">
      <c r="A248" s="2">
        <v>45182</v>
      </c>
      <c r="B248">
        <v>157.111083984375</v>
      </c>
    </row>
    <row r="249" spans="1:4" x14ac:dyDescent="0.2">
      <c r="A249" s="2">
        <v>45182.958333333336</v>
      </c>
      <c r="C249">
        <v>52.184650421142578</v>
      </c>
      <c r="D249">
        <v>9.7349910736083984</v>
      </c>
    </row>
    <row r="250" spans="1:4" x14ac:dyDescent="0.2">
      <c r="A250" s="2">
        <v>45183</v>
      </c>
      <c r="B250">
        <v>159.94876098632812</v>
      </c>
    </row>
    <row r="251" spans="1:4" x14ac:dyDescent="0.2">
      <c r="A251" s="2">
        <v>45183.958333333336</v>
      </c>
      <c r="C251">
        <v>52.32086181640625</v>
      </c>
      <c r="D251">
        <v>9.6896142959594727</v>
      </c>
    </row>
    <row r="252" spans="1:4" x14ac:dyDescent="0.2">
      <c r="A252" s="2">
        <v>45184</v>
      </c>
      <c r="B252">
        <v>161.32763671875</v>
      </c>
    </row>
    <row r="253" spans="1:4" x14ac:dyDescent="0.2">
      <c r="A253" s="2">
        <v>45186.958333333336</v>
      </c>
      <c r="C253">
        <v>51.171607971191406</v>
      </c>
      <c r="D253">
        <v>9.5043296813964844</v>
      </c>
    </row>
    <row r="254" spans="1:4" x14ac:dyDescent="0.2">
      <c r="A254" s="2">
        <v>45187</v>
      </c>
      <c r="B254">
        <v>158.66981506347656</v>
      </c>
    </row>
    <row r="255" spans="1:4" x14ac:dyDescent="0.2">
      <c r="A255" s="2">
        <v>45187.958333333336</v>
      </c>
      <c r="C255">
        <v>52.022903442382812</v>
      </c>
      <c r="D255">
        <v>9.5024404525756836</v>
      </c>
    </row>
    <row r="256" spans="1:4" x14ac:dyDescent="0.2">
      <c r="A256" s="2">
        <v>45188</v>
      </c>
      <c r="B256">
        <v>159.08946228027344</v>
      </c>
    </row>
    <row r="257" spans="1:4" x14ac:dyDescent="0.2">
      <c r="A257" s="2">
        <v>45188.958333333336</v>
      </c>
      <c r="C257">
        <v>52.840152740478516</v>
      </c>
      <c r="D257">
        <v>9.5950813293457031</v>
      </c>
    </row>
    <row r="258" spans="1:4" x14ac:dyDescent="0.2">
      <c r="A258" s="2">
        <v>45189</v>
      </c>
      <c r="B258">
        <v>159.44915771484375</v>
      </c>
    </row>
    <row r="259" spans="1:4" x14ac:dyDescent="0.2">
      <c r="A259" s="2">
        <v>45189.958333333336</v>
      </c>
      <c r="C259">
        <v>52.48260498046875</v>
      </c>
      <c r="D259">
        <v>9.540252685546875</v>
      </c>
    </row>
    <row r="260" spans="1:4" x14ac:dyDescent="0.2">
      <c r="A260" s="2">
        <v>45190</v>
      </c>
      <c r="B260">
        <v>156.571533203125</v>
      </c>
    </row>
    <row r="261" spans="1:4" x14ac:dyDescent="0.2">
      <c r="A261" s="2">
        <v>45190.958333333336</v>
      </c>
      <c r="C261">
        <v>51.707927703857422</v>
      </c>
      <c r="D261">
        <v>9.5591592788696289</v>
      </c>
    </row>
    <row r="262" spans="1:4" x14ac:dyDescent="0.2">
      <c r="A262" s="2">
        <v>45191</v>
      </c>
      <c r="B262">
        <v>155.19264221191406</v>
      </c>
    </row>
    <row r="263" spans="1:4" x14ac:dyDescent="0.2">
      <c r="A263" s="2">
        <v>45193.958333333336</v>
      </c>
      <c r="C263">
        <v>51.435504913330078</v>
      </c>
      <c r="D263">
        <v>9.4948768615722656</v>
      </c>
    </row>
    <row r="264" spans="1:4" x14ac:dyDescent="0.2">
      <c r="A264" s="2">
        <v>45194</v>
      </c>
      <c r="B264">
        <v>153.51402282714844</v>
      </c>
    </row>
    <row r="265" spans="1:4" x14ac:dyDescent="0.2">
      <c r="A265" s="2">
        <v>45194.958333333336</v>
      </c>
      <c r="C265">
        <v>51.273761749267578</v>
      </c>
      <c r="D265">
        <v>9.545924186706543</v>
      </c>
    </row>
    <row r="266" spans="1:4" x14ac:dyDescent="0.2">
      <c r="A266" s="2">
        <v>45195</v>
      </c>
      <c r="B266">
        <v>159.549072265625</v>
      </c>
    </row>
    <row r="267" spans="1:4" x14ac:dyDescent="0.2">
      <c r="A267" s="2">
        <v>45195.958333333336</v>
      </c>
      <c r="C267">
        <v>51.171607971191406</v>
      </c>
      <c r="D267">
        <v>9.7765846252441406</v>
      </c>
    </row>
    <row r="268" spans="1:4" x14ac:dyDescent="0.2">
      <c r="A268" s="2">
        <v>45196</v>
      </c>
      <c r="B268">
        <v>157.99034118652344</v>
      </c>
    </row>
    <row r="269" spans="1:4" x14ac:dyDescent="0.2">
      <c r="A269" s="2">
        <v>45196.958333333336</v>
      </c>
      <c r="C269">
        <v>51.478073120117188</v>
      </c>
      <c r="D269">
        <v>9.8143978118896484</v>
      </c>
    </row>
    <row r="270" spans="1:4" x14ac:dyDescent="0.2">
      <c r="A270" s="2">
        <v>45197</v>
      </c>
      <c r="B270">
        <v>158.9495849609375</v>
      </c>
    </row>
    <row r="271" spans="1:4" x14ac:dyDescent="0.2">
      <c r="A271" s="2">
        <v>45197.958333333336</v>
      </c>
      <c r="C271">
        <v>51.444023132324219</v>
      </c>
      <c r="D271">
        <v>9.8786792755126953</v>
      </c>
    </row>
    <row r="272" spans="1:4" x14ac:dyDescent="0.2">
      <c r="A272" s="2">
        <v>45198</v>
      </c>
      <c r="B272">
        <v>158.80967712402344</v>
      </c>
    </row>
    <row r="273" spans="1:4" x14ac:dyDescent="0.2">
      <c r="A273" s="2">
        <v>45200.958333333336</v>
      </c>
      <c r="C273">
        <v>50.814056396484375</v>
      </c>
      <c r="D273">
        <v>9.5629405975341797</v>
      </c>
    </row>
    <row r="274" spans="1:4" x14ac:dyDescent="0.2">
      <c r="A274" s="2">
        <v>45201</v>
      </c>
      <c r="B274">
        <v>155.6922607421875</v>
      </c>
    </row>
    <row r="275" spans="1:4" x14ac:dyDescent="0.2">
      <c r="A275" s="2">
        <v>45201.958333333336</v>
      </c>
      <c r="C275">
        <v>50.056404113769531</v>
      </c>
      <c r="D275">
        <v>9.3880538940429688</v>
      </c>
    </row>
    <row r="276" spans="1:4" x14ac:dyDescent="0.2">
      <c r="A276" s="2">
        <v>45202</v>
      </c>
      <c r="B276">
        <v>154.15350341796875</v>
      </c>
    </row>
    <row r="277" spans="1:4" x14ac:dyDescent="0.2">
      <c r="A277" s="2">
        <v>45202.958333333336</v>
      </c>
      <c r="C277">
        <v>49.920196533203125</v>
      </c>
      <c r="D277">
        <v>9.3767099380493164</v>
      </c>
    </row>
    <row r="278" spans="1:4" x14ac:dyDescent="0.2">
      <c r="A278" s="2">
        <v>45203</v>
      </c>
      <c r="B278">
        <v>153.75384521484375</v>
      </c>
    </row>
    <row r="279" spans="1:4" x14ac:dyDescent="0.2">
      <c r="A279" s="2">
        <v>45203.958333333336</v>
      </c>
      <c r="C279">
        <v>50.396923065185547</v>
      </c>
      <c r="D279">
        <v>9.4050712585449219</v>
      </c>
    </row>
    <row r="280" spans="1:4" x14ac:dyDescent="0.2">
      <c r="A280" s="2">
        <v>45204</v>
      </c>
      <c r="B280">
        <v>152.39492797851562</v>
      </c>
    </row>
    <row r="281" spans="1:4" x14ac:dyDescent="0.2">
      <c r="A281" s="2">
        <v>45204.958333333336</v>
      </c>
      <c r="C281">
        <v>51.060935974121094</v>
      </c>
      <c r="D281">
        <v>9.5213451385498047</v>
      </c>
    </row>
    <row r="282" spans="1:4" x14ac:dyDescent="0.2">
      <c r="A282" s="2">
        <v>45205</v>
      </c>
      <c r="B282">
        <v>154.63308715820312</v>
      </c>
    </row>
    <row r="283" spans="1:4" x14ac:dyDescent="0.2">
      <c r="A283" s="2">
        <v>45207.958333333336</v>
      </c>
      <c r="C283">
        <v>50.252197265625</v>
      </c>
      <c r="D283">
        <v>9.3946714401245117</v>
      </c>
    </row>
    <row r="284" spans="1:4" x14ac:dyDescent="0.2">
      <c r="A284" s="2">
        <v>45208</v>
      </c>
      <c r="B284">
        <v>151.89537048339844</v>
      </c>
    </row>
    <row r="285" spans="1:4" x14ac:dyDescent="0.2">
      <c r="A285" s="2">
        <v>45208.958333333336</v>
      </c>
      <c r="C285">
        <v>50.933242797851562</v>
      </c>
      <c r="D285">
        <v>9.6612548828125</v>
      </c>
    </row>
    <row r="286" spans="1:4" x14ac:dyDescent="0.2">
      <c r="A286" s="2">
        <v>45209</v>
      </c>
      <c r="B286">
        <v>156.65144348144531</v>
      </c>
    </row>
    <row r="287" spans="1:4" x14ac:dyDescent="0.2">
      <c r="A287" s="2">
        <v>45209.958333333336</v>
      </c>
      <c r="C287">
        <v>51.282272338867188</v>
      </c>
      <c r="D287">
        <v>9.6083164215087891</v>
      </c>
    </row>
    <row r="288" spans="1:4" x14ac:dyDescent="0.2">
      <c r="A288" s="2">
        <v>45210</v>
      </c>
      <c r="B288">
        <v>157.05111694335938</v>
      </c>
    </row>
    <row r="289" spans="1:4" x14ac:dyDescent="0.2">
      <c r="A289" s="2">
        <v>45210.958333333336</v>
      </c>
      <c r="C289">
        <v>50.601234436035156</v>
      </c>
      <c r="D289">
        <v>9.5572690963745117</v>
      </c>
    </row>
    <row r="290" spans="1:4" x14ac:dyDescent="0.2">
      <c r="A290" s="2">
        <v>45211</v>
      </c>
      <c r="B290">
        <v>152.15513610839844</v>
      </c>
    </row>
    <row r="291" spans="1:4" x14ac:dyDescent="0.2">
      <c r="A291" s="2">
        <v>45211.958333333336</v>
      </c>
      <c r="C291">
        <v>49.068897247314453</v>
      </c>
      <c r="D291">
        <v>9.4154691696166992</v>
      </c>
    </row>
    <row r="292" spans="1:4" x14ac:dyDescent="0.2">
      <c r="A292" s="2">
        <v>45212</v>
      </c>
      <c r="B292">
        <v>152.95449829101562</v>
      </c>
    </row>
    <row r="293" spans="1:4" x14ac:dyDescent="0.2">
      <c r="A293" s="2">
        <v>45214.958333333336</v>
      </c>
      <c r="C293">
        <v>49.230644226074219</v>
      </c>
      <c r="D293">
        <v>9.5780658721923828</v>
      </c>
    </row>
    <row r="294" spans="1:4" x14ac:dyDescent="0.2">
      <c r="A294" s="2">
        <v>45215</v>
      </c>
      <c r="B294">
        <v>153.13432312011719</v>
      </c>
    </row>
    <row r="295" spans="1:4" x14ac:dyDescent="0.2">
      <c r="A295" s="2">
        <v>45215.958333333336</v>
      </c>
      <c r="C295">
        <v>49.102947235107422</v>
      </c>
      <c r="D295">
        <v>9.5213451385498047</v>
      </c>
    </row>
    <row r="296" spans="1:4" x14ac:dyDescent="0.2">
      <c r="A296" s="2">
        <v>45216</v>
      </c>
      <c r="B296">
        <v>154.673095703125</v>
      </c>
    </row>
    <row r="297" spans="1:4" x14ac:dyDescent="0.2">
      <c r="A297" s="2">
        <v>45216.958333333336</v>
      </c>
      <c r="C297">
        <v>48.7879638671875</v>
      </c>
      <c r="D297">
        <v>9.2717790603637695</v>
      </c>
    </row>
    <row r="298" spans="1:4" x14ac:dyDescent="0.2">
      <c r="A298" s="2">
        <v>45217</v>
      </c>
      <c r="B298">
        <v>151.51567077636719</v>
      </c>
    </row>
    <row r="299" spans="1:4" x14ac:dyDescent="0.2">
      <c r="A299" s="2">
        <v>45217.958333333336</v>
      </c>
      <c r="C299">
        <v>48.277187347412109</v>
      </c>
      <c r="D299">
        <v>9.2160053253173828</v>
      </c>
    </row>
    <row r="300" spans="1:4" x14ac:dyDescent="0.2">
      <c r="A300" s="2">
        <v>45218</v>
      </c>
      <c r="B300">
        <v>147.6788330078125</v>
      </c>
    </row>
    <row r="301" spans="1:4" x14ac:dyDescent="0.2">
      <c r="A301" s="2">
        <v>45218.958333333336</v>
      </c>
      <c r="C301">
        <v>47.298194885253906</v>
      </c>
      <c r="D301">
        <v>9.0070867538452148</v>
      </c>
    </row>
    <row r="302" spans="1:4" x14ac:dyDescent="0.2">
      <c r="A302" s="2">
        <v>45219</v>
      </c>
      <c r="B302">
        <v>144.74122619628906</v>
      </c>
    </row>
    <row r="303" spans="1:4" x14ac:dyDescent="0.2">
      <c r="A303" s="2">
        <v>45221.958333333336</v>
      </c>
      <c r="C303">
        <v>47.783435821533203</v>
      </c>
      <c r="D303">
        <v>9.0883865356445312</v>
      </c>
    </row>
    <row r="304" spans="1:4" x14ac:dyDescent="0.2">
      <c r="A304" s="2">
        <v>45222</v>
      </c>
      <c r="B304">
        <v>143.92189025878906</v>
      </c>
    </row>
    <row r="305" spans="1:4" x14ac:dyDescent="0.2">
      <c r="A305" s="2">
        <v>45222.958333333336</v>
      </c>
      <c r="C305">
        <v>47.596145629882812</v>
      </c>
      <c r="D305">
        <v>8.9815645217895508</v>
      </c>
    </row>
    <row r="306" spans="1:4" x14ac:dyDescent="0.2">
      <c r="A306" s="2">
        <v>45223</v>
      </c>
      <c r="B306">
        <v>134.52961730957031</v>
      </c>
    </row>
    <row r="307" spans="1:4" x14ac:dyDescent="0.2">
      <c r="A307" s="2">
        <v>45223.958333333336</v>
      </c>
      <c r="C307">
        <v>47.825996398925781</v>
      </c>
      <c r="D307">
        <v>9.7160835266113281</v>
      </c>
    </row>
    <row r="308" spans="1:4" x14ac:dyDescent="0.2">
      <c r="A308" s="2">
        <v>45224</v>
      </c>
      <c r="B308">
        <v>133.11076354980469</v>
      </c>
    </row>
    <row r="309" spans="1:4" x14ac:dyDescent="0.2">
      <c r="A309" s="2">
        <v>45224.958333333336</v>
      </c>
      <c r="C309">
        <v>46.583106994628906</v>
      </c>
      <c r="D309">
        <v>9.8125076293945312</v>
      </c>
    </row>
    <row r="310" spans="1:4" x14ac:dyDescent="0.2">
      <c r="A310" s="2">
        <v>45225</v>
      </c>
      <c r="B310">
        <v>132.131591796875</v>
      </c>
    </row>
    <row r="311" spans="1:4" x14ac:dyDescent="0.2">
      <c r="A311" s="2">
        <v>45225.958333333336</v>
      </c>
      <c r="C311">
        <v>46.540534973144531</v>
      </c>
      <c r="D311">
        <v>9.8370857238769531</v>
      </c>
    </row>
    <row r="312" spans="1:4" x14ac:dyDescent="0.2">
      <c r="A312" s="2">
        <v>45226</v>
      </c>
      <c r="B312">
        <v>129.09405517578125</v>
      </c>
    </row>
    <row r="313" spans="1:4" x14ac:dyDescent="0.2">
      <c r="A313" s="2">
        <v>45228.958333333336</v>
      </c>
      <c r="C313">
        <v>45.731803894042969</v>
      </c>
      <c r="D313">
        <v>9.8389759063720703</v>
      </c>
    </row>
    <row r="314" spans="1:4" x14ac:dyDescent="0.2">
      <c r="A314" s="2">
        <v>45229</v>
      </c>
      <c r="B314">
        <v>130.55287170410156</v>
      </c>
    </row>
    <row r="315" spans="1:4" x14ac:dyDescent="0.2">
      <c r="A315" s="2">
        <v>45229.958333333336</v>
      </c>
      <c r="C315">
        <v>46.217041015625</v>
      </c>
      <c r="D315">
        <v>9.7898197174072266</v>
      </c>
    </row>
    <row r="316" spans="1:4" x14ac:dyDescent="0.2">
      <c r="A316" s="2">
        <v>45230</v>
      </c>
      <c r="B316">
        <v>131.49211120605469</v>
      </c>
    </row>
    <row r="317" spans="1:4" x14ac:dyDescent="0.2">
      <c r="A317" s="2">
        <v>45230.958333333336</v>
      </c>
      <c r="C317">
        <v>46.310688018798828</v>
      </c>
      <c r="D317">
        <v>9.8900232315063477</v>
      </c>
    </row>
    <row r="318" spans="1:4" x14ac:dyDescent="0.2">
      <c r="A318" s="2">
        <v>45231</v>
      </c>
      <c r="B318">
        <v>129.23393249511719</v>
      </c>
    </row>
    <row r="319" spans="1:4" x14ac:dyDescent="0.2">
      <c r="A319" s="2">
        <v>45231.958333333336</v>
      </c>
      <c r="C319">
        <v>47.298194885253906</v>
      </c>
      <c r="D319">
        <v>10.03182315826416</v>
      </c>
    </row>
    <row r="320" spans="1:4" x14ac:dyDescent="0.2">
      <c r="A320" s="2">
        <v>45232</v>
      </c>
      <c r="B320">
        <v>133.13076782226562</v>
      </c>
    </row>
    <row r="321" spans="1:4" x14ac:dyDescent="0.2">
      <c r="A321" s="2">
        <v>45232.958333333336</v>
      </c>
      <c r="C321">
        <v>48.217594146728516</v>
      </c>
      <c r="D321">
        <v>10.07719898223877</v>
      </c>
    </row>
    <row r="322" spans="1:4" x14ac:dyDescent="0.2">
      <c r="A322" s="2">
        <v>45233</v>
      </c>
      <c r="B322">
        <v>136.22821044921875</v>
      </c>
    </row>
    <row r="323" spans="1:4" x14ac:dyDescent="0.2">
      <c r="A323" s="2">
        <v>45235.958333333336</v>
      </c>
      <c r="C323">
        <v>48.362319946289062</v>
      </c>
      <c r="D323">
        <v>10.045058250427246</v>
      </c>
    </row>
    <row r="324" spans="1:4" x14ac:dyDescent="0.2">
      <c r="A324" s="2">
        <v>45236</v>
      </c>
      <c r="B324">
        <v>136.18824768066406</v>
      </c>
    </row>
    <row r="325" spans="1:4" x14ac:dyDescent="0.2">
      <c r="A325" s="2">
        <v>45236.958333333336</v>
      </c>
      <c r="C325">
        <v>47.630203247070312</v>
      </c>
      <c r="D325">
        <v>9.948634147644043</v>
      </c>
    </row>
    <row r="326" spans="1:4" x14ac:dyDescent="0.2">
      <c r="A326" s="2">
        <v>45237</v>
      </c>
      <c r="B326">
        <v>136.10830688476562</v>
      </c>
    </row>
    <row r="327" spans="1:4" x14ac:dyDescent="0.2">
      <c r="A327" s="2">
        <v>45237.958333333336</v>
      </c>
      <c r="C327">
        <v>47.757896423339844</v>
      </c>
      <c r="D327">
        <v>9.9599781036376953</v>
      </c>
    </row>
    <row r="328" spans="1:4" x14ac:dyDescent="0.2">
      <c r="A328" s="2">
        <v>45238</v>
      </c>
      <c r="B328">
        <v>135.90849304199219</v>
      </c>
    </row>
    <row r="329" spans="1:4" x14ac:dyDescent="0.2">
      <c r="A329" s="2">
        <v>45238.958333333336</v>
      </c>
      <c r="C329">
        <v>47.749382019042969</v>
      </c>
      <c r="D329">
        <v>9.9675407409667969</v>
      </c>
    </row>
    <row r="330" spans="1:4" x14ac:dyDescent="0.2">
      <c r="A330" s="2">
        <v>45239</v>
      </c>
      <c r="B330">
        <v>136.86767578125</v>
      </c>
    </row>
    <row r="331" spans="1:4" x14ac:dyDescent="0.2">
      <c r="A331" s="2">
        <v>45239.958333333336</v>
      </c>
      <c r="C331">
        <v>47.34075927734375</v>
      </c>
      <c r="D331">
        <v>9.9221658706665039</v>
      </c>
    </row>
    <row r="332" spans="1:4" x14ac:dyDescent="0.2">
      <c r="A332" s="2">
        <v>45240</v>
      </c>
      <c r="B332">
        <v>135.46885681152344</v>
      </c>
    </row>
    <row r="333" spans="1:4" x14ac:dyDescent="0.2">
      <c r="A333" s="2">
        <v>45242.958333333336</v>
      </c>
      <c r="C333">
        <v>47.493991851806641</v>
      </c>
      <c r="D333">
        <v>10.026151657104492</v>
      </c>
    </row>
    <row r="334" spans="1:4" x14ac:dyDescent="0.2">
      <c r="A334" s="2">
        <v>45243</v>
      </c>
      <c r="B334">
        <v>136.62788391113281</v>
      </c>
    </row>
    <row r="335" spans="1:4" x14ac:dyDescent="0.2">
      <c r="A335" s="2">
        <v>45243.958333333336</v>
      </c>
      <c r="C335">
        <v>47.6812744140625</v>
      </c>
      <c r="D335">
        <v>10.137700080871582</v>
      </c>
    </row>
    <row r="336" spans="1:4" x14ac:dyDescent="0.2">
      <c r="A336" s="2">
        <v>45244</v>
      </c>
      <c r="B336">
        <v>138.34648132324219</v>
      </c>
    </row>
    <row r="337" spans="1:4" x14ac:dyDescent="0.2">
      <c r="A337" s="2">
        <v>45244.958333333336</v>
      </c>
      <c r="C337">
        <v>47.987743377685547</v>
      </c>
      <c r="D337">
        <v>10.32298469543457</v>
      </c>
    </row>
    <row r="338" spans="1:4" x14ac:dyDescent="0.2">
      <c r="A338" s="2">
        <v>45245</v>
      </c>
      <c r="B338">
        <v>139.76533508300781</v>
      </c>
    </row>
    <row r="339" spans="1:4" x14ac:dyDescent="0.2">
      <c r="A339" s="2">
        <v>45245.958333333336</v>
      </c>
      <c r="C339">
        <v>47.749382019042969</v>
      </c>
      <c r="D339">
        <v>10.29084300994873</v>
      </c>
    </row>
    <row r="340" spans="1:4" x14ac:dyDescent="0.2">
      <c r="A340" s="2">
        <v>45246</v>
      </c>
      <c r="B340">
        <v>138.92599487304688</v>
      </c>
    </row>
    <row r="341" spans="1:4" x14ac:dyDescent="0.2">
      <c r="A341" s="2">
        <v>45246.958333333336</v>
      </c>
      <c r="C341">
        <v>48.294208526611328</v>
      </c>
      <c r="D341">
        <v>10.561206817626953</v>
      </c>
    </row>
    <row r="342" spans="1:4" x14ac:dyDescent="0.2">
      <c r="A342" s="2">
        <v>45247</v>
      </c>
      <c r="B342">
        <v>142.68292236328125</v>
      </c>
    </row>
    <row r="343" spans="1:4" x14ac:dyDescent="0.2">
      <c r="A343" s="2">
        <v>45249.958333333336</v>
      </c>
      <c r="C343">
        <v>48.353805541992188</v>
      </c>
      <c r="D343">
        <v>10.670865058898926</v>
      </c>
    </row>
    <row r="344" spans="1:4" x14ac:dyDescent="0.2">
      <c r="A344" s="2">
        <v>45250</v>
      </c>
      <c r="B344">
        <v>142.42312622070312</v>
      </c>
    </row>
    <row r="345" spans="1:4" x14ac:dyDescent="0.2">
      <c r="A345" s="2">
        <v>45250.958333333336</v>
      </c>
      <c r="C345">
        <v>48.064361572265625</v>
      </c>
      <c r="D345">
        <v>10.57822322845459</v>
      </c>
    </row>
    <row r="346" spans="1:4" x14ac:dyDescent="0.2">
      <c r="A346" s="2">
        <v>45251</v>
      </c>
      <c r="B346">
        <v>141.60382080078125</v>
      </c>
    </row>
    <row r="347" spans="1:4" x14ac:dyDescent="0.2">
      <c r="A347" s="2">
        <v>45251.958333333336</v>
      </c>
      <c r="C347">
        <v>48.166522979736328</v>
      </c>
      <c r="D347">
        <v>10.508269309997559</v>
      </c>
    </row>
    <row r="348" spans="1:4" x14ac:dyDescent="0.2">
      <c r="A348" s="2">
        <v>45252</v>
      </c>
      <c r="B348">
        <v>139.86521911621094</v>
      </c>
    </row>
    <row r="349" spans="1:4" x14ac:dyDescent="0.2">
      <c r="A349" s="2">
        <v>45252.958333333336</v>
      </c>
      <c r="C349">
        <v>48.438934326171875</v>
      </c>
      <c r="D349">
        <v>10.506378173828125</v>
      </c>
    </row>
    <row r="350" spans="1:4" x14ac:dyDescent="0.2">
      <c r="A350" s="2">
        <v>45253</v>
      </c>
      <c r="B350">
        <v>140.12503051757812</v>
      </c>
    </row>
    <row r="351" spans="1:4" x14ac:dyDescent="0.2">
      <c r="A351" s="2">
        <v>45253.958333333336</v>
      </c>
      <c r="C351">
        <v>48.549602508544922</v>
      </c>
      <c r="D351">
        <v>10.495035171508789</v>
      </c>
    </row>
    <row r="352" spans="1:4" x14ac:dyDescent="0.2">
      <c r="A352" s="2">
        <v>45254</v>
      </c>
      <c r="B352">
        <v>141.52386474609375</v>
      </c>
    </row>
    <row r="353" spans="1:4" x14ac:dyDescent="0.2">
      <c r="A353" s="2">
        <v>45256.958333333336</v>
      </c>
      <c r="C353">
        <v>48.030307769775391</v>
      </c>
      <c r="D353">
        <v>10.447768211364746</v>
      </c>
    </row>
    <row r="354" spans="1:4" x14ac:dyDescent="0.2">
      <c r="A354" s="2">
        <v>45257</v>
      </c>
      <c r="B354">
        <v>140.08505249023438</v>
      </c>
    </row>
    <row r="355" spans="1:4" x14ac:dyDescent="0.2">
      <c r="A355" s="2">
        <v>45257.958333333336</v>
      </c>
      <c r="C355">
        <v>48.081390380859375</v>
      </c>
      <c r="D355">
        <v>10.48369026184082</v>
      </c>
    </row>
    <row r="356" spans="1:4" x14ac:dyDescent="0.2">
      <c r="A356" s="2">
        <v>45258</v>
      </c>
      <c r="B356">
        <v>140.00511169433594</v>
      </c>
    </row>
    <row r="357" spans="1:4" x14ac:dyDescent="0.2">
      <c r="A357" s="2">
        <v>45258.958333333336</v>
      </c>
      <c r="C357">
        <v>48.455959320068359</v>
      </c>
      <c r="D357">
        <v>10.655740737915039</v>
      </c>
    </row>
    <row r="358" spans="1:4" x14ac:dyDescent="0.2">
      <c r="A358" s="2">
        <v>45259</v>
      </c>
      <c r="B358">
        <v>140.18496704101562</v>
      </c>
    </row>
    <row r="359" spans="1:4" x14ac:dyDescent="0.2">
      <c r="A359" s="2">
        <v>45259.958333333336</v>
      </c>
      <c r="C359">
        <v>49.179561614990234</v>
      </c>
      <c r="D359">
        <v>10.80132007598877</v>
      </c>
    </row>
    <row r="360" spans="1:4" x14ac:dyDescent="0.2">
      <c r="A360" s="2">
        <v>45260</v>
      </c>
      <c r="B360">
        <v>140.92436218261719</v>
      </c>
    </row>
    <row r="361" spans="1:4" x14ac:dyDescent="0.2">
      <c r="A361" s="2">
        <v>45260.958333333336</v>
      </c>
      <c r="C361">
        <v>49.205101013183594</v>
      </c>
      <c r="D361">
        <v>10.890181541442871</v>
      </c>
    </row>
    <row r="362" spans="1:4" x14ac:dyDescent="0.2">
      <c r="A362" s="2">
        <v>45261</v>
      </c>
      <c r="B362">
        <v>142.2432861328125</v>
      </c>
    </row>
    <row r="363" spans="1:4" x14ac:dyDescent="0.2">
      <c r="A363" s="2">
        <v>45263.958333333336</v>
      </c>
      <c r="C363">
        <v>49.775478363037109</v>
      </c>
      <c r="D363">
        <v>10.89963436126709</v>
      </c>
    </row>
    <row r="364" spans="1:4" x14ac:dyDescent="0.2">
      <c r="A364" s="2">
        <v>45264</v>
      </c>
      <c r="B364">
        <v>142.86276245117188</v>
      </c>
    </row>
    <row r="365" spans="1:4" x14ac:dyDescent="0.2">
      <c r="A365" s="2">
        <v>45264.958333333336</v>
      </c>
      <c r="C365">
        <v>50.873645782470703</v>
      </c>
      <c r="D365">
        <v>10.937447547912598</v>
      </c>
    </row>
    <row r="366" spans="1:4" x14ac:dyDescent="0.2">
      <c r="A366" s="2">
        <v>45265</v>
      </c>
      <c r="B366">
        <v>139.34565734863281</v>
      </c>
    </row>
    <row r="367" spans="1:4" x14ac:dyDescent="0.2">
      <c r="A367" s="2">
        <v>45265.958333333336</v>
      </c>
      <c r="C367">
        <v>51.639820098876953</v>
      </c>
      <c r="D367">
        <v>11.031980514526367</v>
      </c>
    </row>
    <row r="368" spans="1:4" x14ac:dyDescent="0.2">
      <c r="A368" s="2">
        <v>45266</v>
      </c>
      <c r="B368">
        <v>140.12503051757812</v>
      </c>
    </row>
    <row r="369" spans="1:4" x14ac:dyDescent="0.2">
      <c r="A369" s="2">
        <v>45266.958333333336</v>
      </c>
      <c r="C369">
        <v>52.022903442382812</v>
      </c>
      <c r="D369">
        <v>10.933666229248047</v>
      </c>
    </row>
    <row r="370" spans="1:4" x14ac:dyDescent="0.2">
      <c r="A370" s="2">
        <v>45267</v>
      </c>
      <c r="B370">
        <v>140.02510070800781</v>
      </c>
    </row>
    <row r="371" spans="1:4" x14ac:dyDescent="0.2">
      <c r="A371" s="2">
        <v>45267.958333333336</v>
      </c>
      <c r="C371">
        <v>52.652862548828125</v>
      </c>
      <c r="D371">
        <v>11.17756175994873</v>
      </c>
    </row>
    <row r="372" spans="1:4" x14ac:dyDescent="0.2">
      <c r="A372" s="2">
        <v>45268</v>
      </c>
      <c r="B372">
        <v>143.16252136230469</v>
      </c>
    </row>
    <row r="373" spans="1:4" x14ac:dyDescent="0.2">
      <c r="A373" s="2">
        <v>45270.958333333336</v>
      </c>
      <c r="C373">
        <v>52.082496643066406</v>
      </c>
      <c r="D373">
        <v>11.251296997070312</v>
      </c>
    </row>
    <row r="374" spans="1:4" x14ac:dyDescent="0.2">
      <c r="A374" s="2">
        <v>45271</v>
      </c>
      <c r="B374">
        <v>142.38316345214844</v>
      </c>
    </row>
    <row r="375" spans="1:4" x14ac:dyDescent="0.2">
      <c r="A375" s="2">
        <v>45271.958333333336</v>
      </c>
      <c r="C375">
        <v>51.776023864746094</v>
      </c>
      <c r="D375">
        <v>11.277766227722168</v>
      </c>
    </row>
    <row r="376" spans="1:4" x14ac:dyDescent="0.2">
      <c r="A376" s="2">
        <v>45272</v>
      </c>
      <c r="B376">
        <v>141.56382751464844</v>
      </c>
    </row>
    <row r="377" spans="1:4" x14ac:dyDescent="0.2">
      <c r="A377" s="2">
        <v>45272.958333333336</v>
      </c>
      <c r="C377">
        <v>51.341865539550781</v>
      </c>
      <c r="D377">
        <v>11.187013626098633</v>
      </c>
    </row>
    <row r="378" spans="1:4" x14ac:dyDescent="0.2">
      <c r="A378" s="2">
        <v>45273</v>
      </c>
      <c r="B378">
        <v>140.96432495117188</v>
      </c>
    </row>
    <row r="379" spans="1:4" x14ac:dyDescent="0.2">
      <c r="A379" s="2">
        <v>45273.958333333336</v>
      </c>
      <c r="C379">
        <v>53.529705047607422</v>
      </c>
      <c r="D379">
        <v>11.315579414367676</v>
      </c>
    </row>
    <row r="380" spans="1:4" x14ac:dyDescent="0.2">
      <c r="A380" s="2">
        <v>45274</v>
      </c>
      <c r="B380">
        <v>149.87699890136719</v>
      </c>
    </row>
    <row r="381" spans="1:4" x14ac:dyDescent="0.2">
      <c r="A381" s="2">
        <v>45274.958333333336</v>
      </c>
      <c r="C381">
        <v>53.708477020263672</v>
      </c>
      <c r="D381">
        <v>11.438471794128418</v>
      </c>
    </row>
    <row r="382" spans="1:4" x14ac:dyDescent="0.2">
      <c r="A382" s="2">
        <v>45275</v>
      </c>
      <c r="B382">
        <v>146.519775390625</v>
      </c>
    </row>
    <row r="383" spans="1:4" x14ac:dyDescent="0.2">
      <c r="A383" s="2">
        <v>45277.958333333336</v>
      </c>
      <c r="C383">
        <v>53.112571716308594</v>
      </c>
      <c r="D383">
        <v>11.332594871520996</v>
      </c>
    </row>
    <row r="384" spans="1:4" x14ac:dyDescent="0.2">
      <c r="A384" s="2">
        <v>45278</v>
      </c>
      <c r="B384">
        <v>146.3798828125</v>
      </c>
    </row>
    <row r="385" spans="1:4" x14ac:dyDescent="0.2">
      <c r="A385" s="2">
        <v>45278.958333333336</v>
      </c>
      <c r="C385">
        <v>53.027442932128906</v>
      </c>
      <c r="D385">
        <v>11.383642196655273</v>
      </c>
    </row>
    <row r="386" spans="1:4" x14ac:dyDescent="0.2">
      <c r="A386" s="2">
        <v>45279</v>
      </c>
      <c r="B386">
        <v>147.5389404296875</v>
      </c>
    </row>
    <row r="387" spans="1:4" x14ac:dyDescent="0.2">
      <c r="A387" s="2">
        <v>45279.958333333336</v>
      </c>
      <c r="C387">
        <v>53.512680053710938</v>
      </c>
      <c r="D387">
        <v>11.62375545501709</v>
      </c>
    </row>
    <row r="388" spans="1:4" x14ac:dyDescent="0.2">
      <c r="A388" s="2">
        <v>45280</v>
      </c>
      <c r="B388">
        <v>151.51567077636719</v>
      </c>
    </row>
    <row r="389" spans="1:4" x14ac:dyDescent="0.2">
      <c r="A389" s="2">
        <v>45280.958333333336</v>
      </c>
      <c r="C389">
        <v>53.529705047607422</v>
      </c>
      <c r="D389">
        <v>11.612412452697754</v>
      </c>
    </row>
    <row r="390" spans="1:4" x14ac:dyDescent="0.2">
      <c r="A390" s="2">
        <v>45281</v>
      </c>
      <c r="B390">
        <v>151.29583740234375</v>
      </c>
    </row>
    <row r="391" spans="1:4" x14ac:dyDescent="0.2">
      <c r="A391" s="2">
        <v>45281.958333333336</v>
      </c>
      <c r="C391">
        <v>53.640373229980469</v>
      </c>
      <c r="D391">
        <v>11.703164100646973</v>
      </c>
    </row>
    <row r="392" spans="1:4" x14ac:dyDescent="0.2">
      <c r="A392" s="2">
        <v>45282</v>
      </c>
      <c r="B392">
        <v>151.65556335449219</v>
      </c>
    </row>
    <row r="393" spans="1:4" x14ac:dyDescent="0.2">
      <c r="A393" s="2">
        <v>45286.958333333336</v>
      </c>
      <c r="C393">
        <v>53.623348236083984</v>
      </c>
      <c r="D393">
        <v>11.72206974029541</v>
      </c>
    </row>
    <row r="394" spans="1:4" x14ac:dyDescent="0.2">
      <c r="A394" s="2">
        <v>45287</v>
      </c>
      <c r="B394">
        <v>153.53402709960938</v>
      </c>
    </row>
    <row r="395" spans="1:4" x14ac:dyDescent="0.2">
      <c r="A395" s="2">
        <v>45287.958333333336</v>
      </c>
      <c r="C395">
        <v>53.163646697998047</v>
      </c>
      <c r="D395">
        <v>11.636991500854492</v>
      </c>
    </row>
    <row r="396" spans="1:4" x14ac:dyDescent="0.2">
      <c r="A396" s="2">
        <v>45288</v>
      </c>
      <c r="B396">
        <v>153.3741455078125</v>
      </c>
    </row>
    <row r="397" spans="1:4" x14ac:dyDescent="0.2">
      <c r="A397" s="2">
        <v>45288.958333333336</v>
      </c>
      <c r="C397">
        <v>53.282829284667969</v>
      </c>
      <c r="D397">
        <v>11.68803882598877</v>
      </c>
    </row>
    <row r="398" spans="1:4" x14ac:dyDescent="0.2">
      <c r="A398" s="2">
        <v>45289</v>
      </c>
      <c r="B398">
        <v>153.6539306640625</v>
      </c>
    </row>
    <row r="399" spans="1:4" x14ac:dyDescent="0.2">
      <c r="A399" s="2">
        <v>45292.958333333336</v>
      </c>
      <c r="C399">
        <v>53.938323974609375</v>
      </c>
      <c r="D399">
        <v>11.799587249755859</v>
      </c>
    </row>
    <row r="400" spans="1:4" x14ac:dyDescent="0.2">
      <c r="A400" s="2">
        <v>45293</v>
      </c>
      <c r="B400">
        <v>155.15269470214844</v>
      </c>
    </row>
    <row r="401" spans="1:4" x14ac:dyDescent="0.2">
      <c r="A401" s="2">
        <v>45293.958333333336</v>
      </c>
      <c r="C401">
        <v>52.499629974365234</v>
      </c>
      <c r="D401">
        <v>11.580270767211914</v>
      </c>
    </row>
    <row r="402" spans="1:4" x14ac:dyDescent="0.2">
      <c r="A402" s="2">
        <v>45294</v>
      </c>
      <c r="B402">
        <v>152.99444580078125</v>
      </c>
    </row>
    <row r="403" spans="1:4" x14ac:dyDescent="0.2">
      <c r="A403" s="2">
        <v>45294.958333333336</v>
      </c>
      <c r="C403">
        <v>53.555244445800781</v>
      </c>
      <c r="D403">
        <v>11.835509300231934</v>
      </c>
    </row>
    <row r="404" spans="1:4" x14ac:dyDescent="0.2">
      <c r="A404" s="2">
        <v>45295</v>
      </c>
      <c r="B404">
        <v>155.45243835449219</v>
      </c>
    </row>
    <row r="405" spans="1:4" x14ac:dyDescent="0.2">
      <c r="A405" s="2">
        <v>45295.958333333336</v>
      </c>
      <c r="C405">
        <v>53.631858825683594</v>
      </c>
      <c r="D405">
        <v>11.880885124206543</v>
      </c>
    </row>
    <row r="406" spans="1:4" x14ac:dyDescent="0.2">
      <c r="A406" s="2">
        <v>45296</v>
      </c>
      <c r="B406">
        <v>155.47242736816406</v>
      </c>
    </row>
    <row r="407" spans="1:4" x14ac:dyDescent="0.2">
      <c r="A407" s="2">
        <v>45298.958333333336</v>
      </c>
      <c r="C407">
        <v>53.751045227050781</v>
      </c>
      <c r="D407">
        <v>12.017012596130371</v>
      </c>
    </row>
    <row r="408" spans="1:4" x14ac:dyDescent="0.2">
      <c r="A408" s="2">
        <v>45299</v>
      </c>
      <c r="B408">
        <v>154.69306945800781</v>
      </c>
    </row>
    <row r="409" spans="1:4" x14ac:dyDescent="0.2">
      <c r="A409" s="2">
        <v>45299.958333333336</v>
      </c>
      <c r="C409">
        <v>53.316883087158203</v>
      </c>
      <c r="D409">
        <v>12.005668640136719</v>
      </c>
    </row>
    <row r="410" spans="1:4" x14ac:dyDescent="0.2">
      <c r="A410" s="2">
        <v>45300</v>
      </c>
      <c r="B410">
        <v>154.15350341796875</v>
      </c>
    </row>
    <row r="411" spans="1:4" x14ac:dyDescent="0.2">
      <c r="A411" s="2">
        <v>45300.958333333336</v>
      </c>
      <c r="C411">
        <v>53.146621704101562</v>
      </c>
      <c r="D411">
        <v>12.052935600280762</v>
      </c>
    </row>
    <row r="412" spans="1:4" x14ac:dyDescent="0.2">
      <c r="A412" s="2">
        <v>45301</v>
      </c>
      <c r="B412">
        <v>152.51484680175781</v>
      </c>
    </row>
    <row r="413" spans="1:4" x14ac:dyDescent="0.2">
      <c r="A413" s="2">
        <v>45301.958333333336</v>
      </c>
      <c r="C413">
        <v>51.758998870849609</v>
      </c>
      <c r="D413">
        <v>11.533003807067871</v>
      </c>
    </row>
    <row r="414" spans="1:4" x14ac:dyDescent="0.2">
      <c r="A414" s="2">
        <v>45302</v>
      </c>
      <c r="B414">
        <v>145.46064758300781</v>
      </c>
    </row>
    <row r="415" spans="1:4" x14ac:dyDescent="0.2">
      <c r="A415" s="2">
        <v>45302.958333333336</v>
      </c>
      <c r="C415">
        <v>51.784542083740234</v>
      </c>
      <c r="D415">
        <v>11.391205787658691</v>
      </c>
    </row>
    <row r="416" spans="1:4" x14ac:dyDescent="0.2">
      <c r="A416" s="2">
        <v>45303</v>
      </c>
      <c r="B416">
        <v>145.42066955566406</v>
      </c>
    </row>
    <row r="417" spans="1:4" x14ac:dyDescent="0.2">
      <c r="A417" s="2">
        <v>45305.958333333336</v>
      </c>
      <c r="C417">
        <v>52.031417846679688</v>
      </c>
      <c r="D417">
        <v>11.285327911376953</v>
      </c>
    </row>
    <row r="418" spans="1:4" x14ac:dyDescent="0.2">
      <c r="A418" s="2">
        <v>45306</v>
      </c>
      <c r="B418">
        <v>144.86112976074219</v>
      </c>
    </row>
    <row r="419" spans="1:4" x14ac:dyDescent="0.2">
      <c r="A419" s="2">
        <v>45306.958333333336</v>
      </c>
      <c r="C419">
        <v>51.716434478759766</v>
      </c>
      <c r="D419">
        <v>11.226718902587891</v>
      </c>
    </row>
    <row r="420" spans="1:4" x14ac:dyDescent="0.2">
      <c r="A420" s="2">
        <v>45307</v>
      </c>
      <c r="B420">
        <v>141.2840576171875</v>
      </c>
    </row>
    <row r="421" spans="1:4" x14ac:dyDescent="0.2">
      <c r="A421" s="2">
        <v>45307.958333333336</v>
      </c>
      <c r="C421">
        <v>51.282272338867188</v>
      </c>
      <c r="D421">
        <v>11.181343078613281</v>
      </c>
    </row>
    <row r="422" spans="1:4" x14ac:dyDescent="0.2">
      <c r="A422" s="2">
        <v>45308</v>
      </c>
      <c r="B422">
        <v>140.56465148925781</v>
      </c>
    </row>
    <row r="423" spans="1:4" x14ac:dyDescent="0.2">
      <c r="A423" s="2">
        <v>45308.958333333336</v>
      </c>
      <c r="C423">
        <v>51.639820098876953</v>
      </c>
      <c r="D423">
        <v>11.258858680725098</v>
      </c>
    </row>
    <row r="424" spans="1:4" x14ac:dyDescent="0.2">
      <c r="A424" s="2">
        <v>45309</v>
      </c>
      <c r="B424">
        <v>140.60462951660156</v>
      </c>
    </row>
    <row r="425" spans="1:4" x14ac:dyDescent="0.2">
      <c r="A425" s="2">
        <v>45309.958333333336</v>
      </c>
      <c r="C425">
        <v>51.597251892089844</v>
      </c>
      <c r="D425">
        <v>11.166217803955078</v>
      </c>
    </row>
    <row r="426" spans="1:4" x14ac:dyDescent="0.2">
      <c r="A426" s="2">
        <v>45310</v>
      </c>
      <c r="B426">
        <v>140.92436218261719</v>
      </c>
    </row>
    <row r="427" spans="1:4" x14ac:dyDescent="0.2">
      <c r="A427" s="2">
        <v>45312.958333333336</v>
      </c>
      <c r="C427">
        <v>52.380451202392578</v>
      </c>
      <c r="D427">
        <v>11.287219047546387</v>
      </c>
    </row>
    <row r="428" spans="1:4" x14ac:dyDescent="0.2">
      <c r="A428" s="2">
        <v>45313</v>
      </c>
      <c r="B428">
        <v>144.82115173339844</v>
      </c>
    </row>
    <row r="429" spans="1:4" x14ac:dyDescent="0.2">
      <c r="A429" s="2">
        <v>45313.958333333336</v>
      </c>
      <c r="C429">
        <v>52.073982238769531</v>
      </c>
      <c r="D429">
        <v>11.332594871520996</v>
      </c>
    </row>
    <row r="430" spans="1:4" x14ac:dyDescent="0.2">
      <c r="A430" s="2">
        <v>45314</v>
      </c>
      <c r="B430">
        <v>146.65965270996094</v>
      </c>
    </row>
    <row r="431" spans="1:4" x14ac:dyDescent="0.2">
      <c r="A431" s="2">
        <v>45314.958333333336</v>
      </c>
      <c r="C431">
        <v>52.772048950195312</v>
      </c>
      <c r="D431">
        <v>11.49897289276123</v>
      </c>
    </row>
    <row r="432" spans="1:4" x14ac:dyDescent="0.2">
      <c r="A432" s="2">
        <v>45315</v>
      </c>
      <c r="B432">
        <v>147.21919250488281</v>
      </c>
    </row>
    <row r="433" spans="1:4" x14ac:dyDescent="0.2">
      <c r="A433" s="2">
        <v>45315.958333333336</v>
      </c>
      <c r="C433">
        <v>52.516654968261719</v>
      </c>
      <c r="D433">
        <v>11.419565200805664</v>
      </c>
    </row>
    <row r="434" spans="1:4" x14ac:dyDescent="0.2">
      <c r="A434" s="2">
        <v>45316</v>
      </c>
      <c r="B434">
        <v>145.26080322265625</v>
      </c>
    </row>
    <row r="435" spans="1:4" x14ac:dyDescent="0.2">
      <c r="A435" s="2">
        <v>45316.958333333336</v>
      </c>
      <c r="C435">
        <v>53.248775482177734</v>
      </c>
      <c r="D435">
        <v>11.419565200805664</v>
      </c>
    </row>
    <row r="436" spans="1:4" x14ac:dyDescent="0.2">
      <c r="A436" s="2">
        <v>45317</v>
      </c>
      <c r="B436">
        <v>149.11764526367188</v>
      </c>
    </row>
    <row r="437" spans="1:4" x14ac:dyDescent="0.2">
      <c r="A437" s="2">
        <v>45319.958333333336</v>
      </c>
      <c r="C437">
        <v>52.814613342285156</v>
      </c>
      <c r="D437">
        <v>11.321250915527344</v>
      </c>
    </row>
    <row r="438" spans="1:4" x14ac:dyDescent="0.2">
      <c r="A438" s="2">
        <v>45320</v>
      </c>
      <c r="B438">
        <v>147.41902160644531</v>
      </c>
    </row>
    <row r="439" spans="1:4" x14ac:dyDescent="0.2">
      <c r="A439" s="2">
        <v>45320.958333333336</v>
      </c>
      <c r="C439">
        <v>52.950820922851562</v>
      </c>
      <c r="D439">
        <v>11.438471794128418</v>
      </c>
    </row>
    <row r="440" spans="1:4" x14ac:dyDescent="0.2">
      <c r="A440" s="2">
        <v>45321</v>
      </c>
      <c r="B440">
        <v>150.13679504394531</v>
      </c>
    </row>
    <row r="441" spans="1:4" x14ac:dyDescent="0.2">
      <c r="A441" s="2">
        <v>45321.958333333336</v>
      </c>
      <c r="C441">
        <v>53.248775482177734</v>
      </c>
      <c r="D441">
        <v>11.376080513000488</v>
      </c>
    </row>
    <row r="442" spans="1:4" x14ac:dyDescent="0.2">
      <c r="A442" s="2">
        <v>45322</v>
      </c>
      <c r="B442">
        <v>148.29832458496094</v>
      </c>
    </row>
    <row r="443" spans="1:4" x14ac:dyDescent="0.2">
      <c r="A443" s="2">
        <v>45322.958333333336</v>
      </c>
      <c r="C443">
        <v>48.345294952392578</v>
      </c>
      <c r="D443">
        <v>11.712616920471191</v>
      </c>
    </row>
    <row r="444" spans="1:4" x14ac:dyDescent="0.2">
      <c r="A444" s="2">
        <v>45323</v>
      </c>
      <c r="B444">
        <v>145.92025756835938</v>
      </c>
    </row>
    <row r="445" spans="1:4" x14ac:dyDescent="0.2">
      <c r="A445" s="2">
        <v>45323.958333333336</v>
      </c>
      <c r="C445">
        <v>47.723842620849609</v>
      </c>
      <c r="D445">
        <v>12.124780654907227</v>
      </c>
    </row>
    <row r="446" spans="1:4" x14ac:dyDescent="0.2">
      <c r="A446" s="2">
        <v>45324</v>
      </c>
      <c r="B446">
        <v>150.59642028808594</v>
      </c>
    </row>
    <row r="447" spans="1:4" x14ac:dyDescent="0.2">
      <c r="A447" s="2">
        <v>45326.958333333336</v>
      </c>
      <c r="C447">
        <v>47.757896423339844</v>
      </c>
      <c r="D447">
        <v>11.792024612426758</v>
      </c>
    </row>
    <row r="448" spans="1:4" x14ac:dyDescent="0.2">
      <c r="A448" s="2">
        <v>45327</v>
      </c>
      <c r="B448">
        <v>145.560546875</v>
      </c>
    </row>
    <row r="449" spans="1:4" x14ac:dyDescent="0.2">
      <c r="A449" s="2">
        <v>45327.958333333336</v>
      </c>
      <c r="C449">
        <v>46.889572143554688</v>
      </c>
      <c r="D449">
        <v>11.616192817687988</v>
      </c>
    </row>
    <row r="450" spans="1:4" x14ac:dyDescent="0.2">
      <c r="A450" s="2">
        <v>45328</v>
      </c>
      <c r="B450">
        <v>146.1800537109375</v>
      </c>
    </row>
    <row r="451" spans="1:4" x14ac:dyDescent="0.2">
      <c r="A451" s="2">
        <v>45328.958333333336</v>
      </c>
      <c r="C451">
        <v>46.651206970214844</v>
      </c>
      <c r="D451">
        <v>10.967698097229004</v>
      </c>
    </row>
    <row r="452" spans="1:4" x14ac:dyDescent="0.2">
      <c r="A452" s="2">
        <v>45329</v>
      </c>
      <c r="B452">
        <v>144.28158569335938</v>
      </c>
    </row>
    <row r="453" spans="1:4" x14ac:dyDescent="0.2">
      <c r="A453" s="2">
        <v>45329.958333333336</v>
      </c>
      <c r="C453">
        <v>46.42987060546875</v>
      </c>
      <c r="D453">
        <v>10.979043006896973</v>
      </c>
    </row>
    <row r="454" spans="1:4" x14ac:dyDescent="0.2">
      <c r="A454" s="2">
        <v>45330</v>
      </c>
      <c r="B454">
        <v>143.04263305664062</v>
      </c>
    </row>
    <row r="455" spans="1:4" x14ac:dyDescent="0.2">
      <c r="A455" s="2">
        <v>45330.958333333336</v>
      </c>
      <c r="C455">
        <v>45.493434906005859</v>
      </c>
      <c r="D455">
        <v>10.965807914733887</v>
      </c>
    </row>
    <row r="456" spans="1:4" x14ac:dyDescent="0.2">
      <c r="A456" s="2">
        <v>45331</v>
      </c>
      <c r="B456">
        <v>142.16334533691406</v>
      </c>
    </row>
    <row r="457" spans="1:4" x14ac:dyDescent="0.2">
      <c r="A457" s="2">
        <v>45333.958333333336</v>
      </c>
      <c r="C457">
        <v>46.114883422851562</v>
      </c>
      <c r="D457">
        <v>11.224827766418457</v>
      </c>
    </row>
    <row r="458" spans="1:4" x14ac:dyDescent="0.2">
      <c r="A458" s="2">
        <v>45334</v>
      </c>
      <c r="B458">
        <v>142.76286315917969</v>
      </c>
    </row>
    <row r="459" spans="1:4" x14ac:dyDescent="0.2">
      <c r="A459" s="2">
        <v>45334.958333333336</v>
      </c>
      <c r="C459">
        <v>45.825447082519531</v>
      </c>
      <c r="D459">
        <v>11.226718902587891</v>
      </c>
    </row>
    <row r="460" spans="1:4" x14ac:dyDescent="0.2">
      <c r="A460" s="2">
        <v>45335</v>
      </c>
      <c r="B460">
        <v>140.36482238769531</v>
      </c>
    </row>
    <row r="461" spans="1:4" x14ac:dyDescent="0.2">
      <c r="A461" s="2">
        <v>45335.958333333336</v>
      </c>
      <c r="C461">
        <v>45.902061462402344</v>
      </c>
      <c r="D461">
        <v>11.277766227722168</v>
      </c>
    </row>
    <row r="462" spans="1:4" x14ac:dyDescent="0.2">
      <c r="A462" s="2">
        <v>45336</v>
      </c>
      <c r="B462">
        <v>141.90354919433594</v>
      </c>
    </row>
    <row r="463" spans="1:4" x14ac:dyDescent="0.2">
      <c r="A463" s="2">
        <v>45336.958333333336</v>
      </c>
      <c r="C463">
        <v>45.978679656982422</v>
      </c>
      <c r="D463">
        <v>11.355282783508301</v>
      </c>
    </row>
    <row r="464" spans="1:4" x14ac:dyDescent="0.2">
      <c r="A464" s="2">
        <v>45337</v>
      </c>
      <c r="B464">
        <v>143.30239868164062</v>
      </c>
    </row>
    <row r="465" spans="1:4" x14ac:dyDescent="0.2">
      <c r="A465" s="2">
        <v>45337.958333333336</v>
      </c>
      <c r="C465">
        <v>46.293663024902344</v>
      </c>
      <c r="D465">
        <v>11.326923370361328</v>
      </c>
    </row>
    <row r="466" spans="1:4" x14ac:dyDescent="0.2">
      <c r="A466" s="2">
        <v>45338</v>
      </c>
      <c r="B466">
        <v>146.59971618652344</v>
      </c>
    </row>
    <row r="467" spans="1:4" x14ac:dyDescent="0.2">
      <c r="A467" s="2">
        <v>45340.958333333336</v>
      </c>
      <c r="C467">
        <v>46.625663757324219</v>
      </c>
      <c r="D467">
        <v>11.340157508850098</v>
      </c>
    </row>
    <row r="468" spans="1:4" x14ac:dyDescent="0.2">
      <c r="A468" s="2">
        <v>45341</v>
      </c>
      <c r="B468">
        <v>148.87783813476562</v>
      </c>
    </row>
    <row r="469" spans="1:4" x14ac:dyDescent="0.2">
      <c r="A469" s="2">
        <v>45341.958333333336</v>
      </c>
      <c r="C469">
        <v>47.247112274169922</v>
      </c>
      <c r="D469">
        <v>11.300454139709473</v>
      </c>
    </row>
    <row r="470" spans="1:4" x14ac:dyDescent="0.2">
      <c r="A470" s="2">
        <v>45342</v>
      </c>
      <c r="B470">
        <v>161.66734313964844</v>
      </c>
    </row>
    <row r="471" spans="1:4" x14ac:dyDescent="0.2">
      <c r="A471" s="2">
        <v>45342.958333333336</v>
      </c>
      <c r="C471">
        <v>47.587635040283203</v>
      </c>
      <c r="D471">
        <v>11.33826732635498</v>
      </c>
    </row>
    <row r="472" spans="1:4" x14ac:dyDescent="0.2">
      <c r="A472" s="2">
        <v>45343</v>
      </c>
      <c r="B472">
        <v>162.62655639648438</v>
      </c>
    </row>
    <row r="473" spans="1:4" x14ac:dyDescent="0.2">
      <c r="A473" s="2">
        <v>45343.958333333336</v>
      </c>
      <c r="C473">
        <v>47.860054016113281</v>
      </c>
      <c r="D473">
        <v>11.582161903381348</v>
      </c>
    </row>
    <row r="474" spans="1:4" x14ac:dyDescent="0.2">
      <c r="A474" s="2">
        <v>45344</v>
      </c>
      <c r="B474">
        <v>163.54579162597656</v>
      </c>
    </row>
    <row r="475" spans="1:4" x14ac:dyDescent="0.2">
      <c r="A475" s="2">
        <v>45344.958333333336</v>
      </c>
      <c r="C475">
        <v>48.004772186279297</v>
      </c>
      <c r="D475">
        <v>11.712616920471191</v>
      </c>
    </row>
    <row r="476" spans="1:4" x14ac:dyDescent="0.2">
      <c r="A476" s="2">
        <v>45345</v>
      </c>
      <c r="B476">
        <v>163.60575866699219</v>
      </c>
    </row>
    <row r="477" spans="1:4" x14ac:dyDescent="0.2">
      <c r="A477" s="2">
        <v>45347.958333333336</v>
      </c>
      <c r="C477">
        <v>47.110908508300781</v>
      </c>
      <c r="D477">
        <v>11.629427909851074</v>
      </c>
    </row>
    <row r="478" spans="1:4" x14ac:dyDescent="0.2">
      <c r="A478" s="2">
        <v>45348</v>
      </c>
      <c r="B478">
        <v>165.70404052734375</v>
      </c>
    </row>
    <row r="479" spans="1:4" x14ac:dyDescent="0.2">
      <c r="A479" s="2">
        <v>45348.958333333336</v>
      </c>
      <c r="C479">
        <v>47.332241058349609</v>
      </c>
      <c r="D479">
        <v>11.706945419311523</v>
      </c>
    </row>
    <row r="480" spans="1:4" x14ac:dyDescent="0.2">
      <c r="A480" s="2">
        <v>45349</v>
      </c>
      <c r="B480">
        <v>166.72319030761719</v>
      </c>
    </row>
    <row r="481" spans="1:4" x14ac:dyDescent="0.2">
      <c r="A481" s="2">
        <v>45349.958333333336</v>
      </c>
      <c r="C481">
        <v>47.204551696777344</v>
      </c>
      <c r="D481">
        <v>11.718288421630859</v>
      </c>
    </row>
    <row r="482" spans="1:4" x14ac:dyDescent="0.2">
      <c r="A482" s="2">
        <v>45350</v>
      </c>
      <c r="B482">
        <v>168.76152038574219</v>
      </c>
    </row>
    <row r="483" spans="1:4" x14ac:dyDescent="0.2">
      <c r="A483" s="2">
        <v>45350.958333333336</v>
      </c>
      <c r="C483">
        <v>47.144962310791016</v>
      </c>
      <c r="D483">
        <v>11.686147689819336</v>
      </c>
    </row>
    <row r="484" spans="1:4" x14ac:dyDescent="0.2">
      <c r="A484" s="2">
        <v>45351</v>
      </c>
      <c r="B484">
        <v>164.37675476074219</v>
      </c>
    </row>
    <row r="485" spans="1:4" x14ac:dyDescent="0.2">
      <c r="A485" s="2">
        <v>45351.958333333336</v>
      </c>
      <c r="C485">
        <v>47.800460815429688</v>
      </c>
      <c r="D485">
        <v>11.878993988037109</v>
      </c>
    </row>
    <row r="486" spans="1:4" x14ac:dyDescent="0.2">
      <c r="A486" s="2">
        <v>45352</v>
      </c>
      <c r="B486">
        <v>169.43417358398438</v>
      </c>
    </row>
    <row r="487" spans="1:4" x14ac:dyDescent="0.2">
      <c r="A487" s="2">
        <v>45354.958333333336</v>
      </c>
      <c r="C487">
        <v>48.753917694091797</v>
      </c>
      <c r="D487">
        <v>11.907354354858398</v>
      </c>
    </row>
    <row r="488" spans="1:4" x14ac:dyDescent="0.2">
      <c r="A488" s="2">
        <v>45355</v>
      </c>
      <c r="B488">
        <v>170.05387878417969</v>
      </c>
    </row>
    <row r="489" spans="1:4" x14ac:dyDescent="0.2">
      <c r="A489" s="2">
        <v>45355.958333333336</v>
      </c>
      <c r="C489">
        <v>48.728378295898438</v>
      </c>
      <c r="D489">
        <v>11.941386222839355</v>
      </c>
    </row>
    <row r="490" spans="1:4" x14ac:dyDescent="0.2">
      <c r="A490" s="2">
        <v>45356</v>
      </c>
      <c r="B490">
        <v>169.37422180175781</v>
      </c>
    </row>
    <row r="491" spans="1:4" x14ac:dyDescent="0.2">
      <c r="A491" s="2">
        <v>45356.958333333336</v>
      </c>
      <c r="C491">
        <v>48.753917694091797</v>
      </c>
      <c r="D491">
        <v>11.875213623046875</v>
      </c>
    </row>
    <row r="492" spans="1:4" x14ac:dyDescent="0.2">
      <c r="A492" s="2">
        <v>45357</v>
      </c>
      <c r="B492">
        <v>170.83346557617188</v>
      </c>
    </row>
    <row r="493" spans="1:4" x14ac:dyDescent="0.2">
      <c r="A493" s="2">
        <v>45357.958333333336</v>
      </c>
      <c r="C493">
        <v>49.707370758056641</v>
      </c>
      <c r="D493">
        <v>12.017012596130371</v>
      </c>
    </row>
    <row r="494" spans="1:4" x14ac:dyDescent="0.2">
      <c r="A494" s="2">
        <v>45358</v>
      </c>
      <c r="B494">
        <v>172.97239685058594</v>
      </c>
    </row>
    <row r="495" spans="1:4" x14ac:dyDescent="0.2">
      <c r="A495" s="2">
        <v>45358.958333333336</v>
      </c>
      <c r="C495">
        <v>50.167072296142578</v>
      </c>
      <c r="D495">
        <v>12.103982925415039</v>
      </c>
    </row>
    <row r="496" spans="1:4" x14ac:dyDescent="0.2">
      <c r="A496" s="2">
        <v>45359</v>
      </c>
      <c r="B496">
        <v>172.15280151367188</v>
      </c>
    </row>
    <row r="497" spans="1:4" x14ac:dyDescent="0.2">
      <c r="A497" s="2">
        <v>45361.958333333336</v>
      </c>
      <c r="C497">
        <v>50.269229888916016</v>
      </c>
      <c r="D497">
        <v>12.298720359802246</v>
      </c>
    </row>
    <row r="498" spans="1:4" x14ac:dyDescent="0.2">
      <c r="A498" s="2">
        <v>45362</v>
      </c>
      <c r="B498">
        <v>173.71202087402344</v>
      </c>
    </row>
    <row r="499" spans="1:4" x14ac:dyDescent="0.2">
      <c r="A499" s="2">
        <v>45362.958333333336</v>
      </c>
      <c r="C499">
        <v>50.831085205078125</v>
      </c>
      <c r="D499">
        <v>12.871588706970215</v>
      </c>
    </row>
    <row r="500" spans="1:4" x14ac:dyDescent="0.2">
      <c r="A500" s="2">
        <v>45363</v>
      </c>
      <c r="B500">
        <v>177.49009704589844</v>
      </c>
    </row>
    <row r="501" spans="1:4" x14ac:dyDescent="0.2">
      <c r="A501" s="2">
        <v>45363.958333333336</v>
      </c>
      <c r="C501">
        <v>51.886699676513672</v>
      </c>
      <c r="D501">
        <v>12.841339111328125</v>
      </c>
    </row>
    <row r="502" spans="1:4" x14ac:dyDescent="0.2">
      <c r="A502" s="2">
        <v>45364</v>
      </c>
      <c r="B502">
        <v>176.97036743164062</v>
      </c>
    </row>
    <row r="503" spans="1:4" x14ac:dyDescent="0.2">
      <c r="A503" s="2">
        <v>45364.958333333336</v>
      </c>
      <c r="C503">
        <v>51.290786743164062</v>
      </c>
      <c r="D503">
        <v>12.799744606018066</v>
      </c>
    </row>
    <row r="504" spans="1:4" x14ac:dyDescent="0.2">
      <c r="A504" s="2">
        <v>45365</v>
      </c>
      <c r="B504">
        <v>174.31170654296875</v>
      </c>
    </row>
    <row r="505" spans="1:4" x14ac:dyDescent="0.2">
      <c r="A505" s="2">
        <v>45365.958333333336</v>
      </c>
      <c r="C505">
        <v>52.1080322265625</v>
      </c>
      <c r="D505">
        <v>12.882933616638184</v>
      </c>
    </row>
    <row r="506" spans="1:4" x14ac:dyDescent="0.2">
      <c r="A506" s="2">
        <v>45366</v>
      </c>
      <c r="B506">
        <v>176.8304443359375</v>
      </c>
    </row>
    <row r="507" spans="1:4" x14ac:dyDescent="0.2">
      <c r="A507" s="2">
        <v>45368.958333333336</v>
      </c>
      <c r="C507">
        <v>52.235733032226562</v>
      </c>
      <c r="D507">
        <v>12.767602920532227</v>
      </c>
    </row>
    <row r="508" spans="1:4" x14ac:dyDescent="0.2">
      <c r="A508" s="2">
        <v>45369</v>
      </c>
      <c r="B508">
        <v>176.43064880371094</v>
      </c>
    </row>
    <row r="509" spans="1:4" x14ac:dyDescent="0.2">
      <c r="A509" s="2">
        <v>45369.958333333336</v>
      </c>
      <c r="C509">
        <v>52.780563354492188</v>
      </c>
      <c r="D509">
        <v>12.985028266906738</v>
      </c>
    </row>
    <row r="510" spans="1:4" x14ac:dyDescent="0.2">
      <c r="A510" s="2">
        <v>45370</v>
      </c>
      <c r="B510">
        <v>174.97138977050781</v>
      </c>
    </row>
    <row r="511" spans="1:4" x14ac:dyDescent="0.2">
      <c r="A511" s="2">
        <v>45370.958333333336</v>
      </c>
      <c r="C511">
        <v>52.720973968505859</v>
      </c>
      <c r="D511">
        <v>12.892386436462402</v>
      </c>
    </row>
    <row r="512" spans="1:4" x14ac:dyDescent="0.2">
      <c r="A512" s="2">
        <v>45371</v>
      </c>
      <c r="B512">
        <v>175.65104675292969</v>
      </c>
    </row>
    <row r="513" spans="1:4" x14ac:dyDescent="0.2">
      <c r="A513" s="2">
        <v>45371.958333333336</v>
      </c>
      <c r="C513">
        <v>53.325389862060547</v>
      </c>
      <c r="D513">
        <v>13.223251342773438</v>
      </c>
    </row>
    <row r="514" spans="1:4" x14ac:dyDescent="0.2">
      <c r="A514" s="2">
        <v>45372</v>
      </c>
      <c r="B514">
        <v>181.74794006347656</v>
      </c>
    </row>
    <row r="515" spans="1:4" x14ac:dyDescent="0.2">
      <c r="A515" s="2">
        <v>45372.958333333336</v>
      </c>
      <c r="C515">
        <v>53.461601257324219</v>
      </c>
      <c r="D515">
        <v>13.402864456176758</v>
      </c>
    </row>
    <row r="516" spans="1:4" x14ac:dyDescent="0.2">
      <c r="A516" s="2">
        <v>45373</v>
      </c>
      <c r="B516">
        <v>180.70846557617188</v>
      </c>
    </row>
    <row r="517" spans="1:4" x14ac:dyDescent="0.2">
      <c r="A517" s="2">
        <v>45375.958333333336</v>
      </c>
      <c r="C517">
        <v>53.197700500488281</v>
      </c>
      <c r="D517">
        <v>13.372612953186035</v>
      </c>
    </row>
    <row r="518" spans="1:4" x14ac:dyDescent="0.2">
      <c r="A518" s="2">
        <v>45376</v>
      </c>
      <c r="B518">
        <v>181.38812255859375</v>
      </c>
    </row>
    <row r="519" spans="1:4" x14ac:dyDescent="0.2">
      <c r="A519" s="2">
        <v>45376.958333333336</v>
      </c>
      <c r="C519">
        <v>54.747058868408203</v>
      </c>
      <c r="D519">
        <v>13.452019691467285</v>
      </c>
    </row>
    <row r="520" spans="1:4" x14ac:dyDescent="0.2">
      <c r="A520" s="2">
        <v>45377</v>
      </c>
      <c r="B520">
        <v>180.68849182128906</v>
      </c>
    </row>
    <row r="521" spans="1:4" x14ac:dyDescent="0.2">
      <c r="A521" s="2">
        <v>45377.958333333336</v>
      </c>
      <c r="C521">
        <v>55.05352783203125</v>
      </c>
      <c r="D521">
        <v>13.813136100769043</v>
      </c>
    </row>
    <row r="522" spans="1:4" x14ac:dyDescent="0.2">
      <c r="A522" s="2">
        <v>45378</v>
      </c>
      <c r="B522">
        <v>181.4281005859375</v>
      </c>
    </row>
    <row r="523" spans="1:4" x14ac:dyDescent="0.2">
      <c r="A523" s="2">
        <v>45378.958333333336</v>
      </c>
      <c r="C523">
        <v>56.066577911376953</v>
      </c>
      <c r="D523">
        <v>13.784775733947754</v>
      </c>
    </row>
    <row r="524" spans="1:4" x14ac:dyDescent="0.2">
      <c r="A524" s="2">
        <v>45379</v>
      </c>
      <c r="B524">
        <v>183.10725402832031</v>
      </c>
    </row>
    <row r="525" spans="1:4" x14ac:dyDescent="0.2">
      <c r="A525" s="2">
        <v>45383.958333333336</v>
      </c>
      <c r="C525">
        <v>55.692005157470703</v>
      </c>
      <c r="D525">
        <v>13.771541595458984</v>
      </c>
    </row>
    <row r="526" spans="1:4" x14ac:dyDescent="0.2">
      <c r="A526" s="2">
        <v>45384</v>
      </c>
      <c r="B526">
        <v>184.02677917480469</v>
      </c>
    </row>
    <row r="527" spans="1:4" x14ac:dyDescent="0.2">
      <c r="A527" s="2">
        <v>45384.958333333336</v>
      </c>
      <c r="C527">
        <v>56.636943817138672</v>
      </c>
      <c r="D527">
        <v>14.058920860290527</v>
      </c>
    </row>
    <row r="528" spans="1:4" x14ac:dyDescent="0.2">
      <c r="A528" s="2">
        <v>45385</v>
      </c>
      <c r="B528">
        <v>188.44453430175781</v>
      </c>
    </row>
    <row r="529" spans="1:4" x14ac:dyDescent="0.2">
      <c r="A529" s="2">
        <v>45385.958333333336</v>
      </c>
      <c r="C529">
        <v>57.173267364501953</v>
      </c>
      <c r="D529">
        <v>14.153454780578613</v>
      </c>
    </row>
    <row r="530" spans="1:4" x14ac:dyDescent="0.2">
      <c r="A530" s="2">
        <v>45386</v>
      </c>
      <c r="B530">
        <v>193.06221008300781</v>
      </c>
    </row>
    <row r="531" spans="1:4" x14ac:dyDescent="0.2">
      <c r="A531" s="2">
        <v>45386.958333333336</v>
      </c>
      <c r="C531">
        <v>56.653980255126953</v>
      </c>
      <c r="D531">
        <v>13.954936027526855</v>
      </c>
    </row>
    <row r="532" spans="1:4" x14ac:dyDescent="0.2">
      <c r="A532" s="2">
        <v>45387</v>
      </c>
      <c r="B532">
        <v>189.64395141601562</v>
      </c>
    </row>
    <row r="533" spans="1:4" x14ac:dyDescent="0.2">
      <c r="A533" s="2">
        <v>45389.958333333336</v>
      </c>
      <c r="C533">
        <v>57.028541564941406</v>
      </c>
      <c r="D533">
        <v>14.079718589782715</v>
      </c>
    </row>
    <row r="534" spans="1:4" x14ac:dyDescent="0.2">
      <c r="A534" s="2">
        <v>45390</v>
      </c>
      <c r="B534">
        <v>193.08218383789062</v>
      </c>
    </row>
    <row r="535" spans="1:4" x14ac:dyDescent="0.2">
      <c r="A535" s="2">
        <v>45390.958333333336</v>
      </c>
      <c r="C535">
        <v>56.7305908203125</v>
      </c>
      <c r="D535">
        <v>13.805574417114258</v>
      </c>
    </row>
    <row r="536" spans="1:4" x14ac:dyDescent="0.2">
      <c r="A536" s="2">
        <v>45391</v>
      </c>
      <c r="B536">
        <v>188.80435180664062</v>
      </c>
    </row>
    <row r="537" spans="1:4" x14ac:dyDescent="0.2">
      <c r="A537" s="2">
        <v>45391.958333333336</v>
      </c>
      <c r="C537">
        <v>56.807209014892578</v>
      </c>
      <c r="D537">
        <v>14.13832950592041</v>
      </c>
    </row>
    <row r="538" spans="1:4" x14ac:dyDescent="0.2">
      <c r="A538" s="2">
        <v>45392</v>
      </c>
      <c r="B538">
        <v>189.38406372070312</v>
      </c>
    </row>
    <row r="539" spans="1:4" x14ac:dyDescent="0.2">
      <c r="A539" s="2">
        <v>45392.958333333336</v>
      </c>
      <c r="C539">
        <v>55.768627166748047</v>
      </c>
      <c r="D539">
        <v>13.788558006286621</v>
      </c>
    </row>
    <row r="540" spans="1:4" x14ac:dyDescent="0.2">
      <c r="A540" s="2">
        <v>45393</v>
      </c>
      <c r="B540">
        <v>183.54702758789062</v>
      </c>
    </row>
    <row r="541" spans="1:4" x14ac:dyDescent="0.2">
      <c r="A541" s="2">
        <v>45393.958333333336</v>
      </c>
      <c r="C541">
        <v>55.640926361083984</v>
      </c>
      <c r="D541">
        <v>13.979514122009277</v>
      </c>
    </row>
    <row r="542" spans="1:4" x14ac:dyDescent="0.2">
      <c r="A542" s="2">
        <v>45394</v>
      </c>
      <c r="B542">
        <v>182.76744079589844</v>
      </c>
    </row>
    <row r="543" spans="1:4" x14ac:dyDescent="0.2">
      <c r="A543" s="2">
        <v>45396.958333333336</v>
      </c>
      <c r="C543">
        <v>55.989955902099609</v>
      </c>
      <c r="D543">
        <v>13.905777931213379</v>
      </c>
    </row>
    <row r="544" spans="1:4" x14ac:dyDescent="0.2">
      <c r="A544" s="2">
        <v>45397</v>
      </c>
      <c r="B544">
        <v>183.04727172851562</v>
      </c>
    </row>
    <row r="545" spans="1:4" x14ac:dyDescent="0.2">
      <c r="A545" s="2">
        <v>45397.958333333336</v>
      </c>
      <c r="C545">
        <v>54.33843994140625</v>
      </c>
      <c r="D545">
        <v>13.648649215698242</v>
      </c>
    </row>
    <row r="546" spans="1:4" x14ac:dyDescent="0.2">
      <c r="A546" s="2">
        <v>45398</v>
      </c>
      <c r="B546">
        <v>178.3896484375</v>
      </c>
    </row>
    <row r="547" spans="1:4" x14ac:dyDescent="0.2">
      <c r="A547" s="2">
        <v>45398.958333333336</v>
      </c>
      <c r="C547">
        <v>54.610855102539062</v>
      </c>
      <c r="D547">
        <v>13.711040496826172</v>
      </c>
    </row>
    <row r="548" spans="1:4" x14ac:dyDescent="0.2">
      <c r="A548" s="2">
        <v>45399</v>
      </c>
      <c r="B548">
        <v>179.84892272949219</v>
      </c>
    </row>
    <row r="549" spans="1:4" x14ac:dyDescent="0.2">
      <c r="A549" s="2">
        <v>45399.958333333336</v>
      </c>
      <c r="C549">
        <v>55.726055145263672</v>
      </c>
      <c r="D549">
        <v>13.99085807800293</v>
      </c>
    </row>
    <row r="550" spans="1:4" x14ac:dyDescent="0.2">
      <c r="A550" s="2">
        <v>45400</v>
      </c>
      <c r="B550">
        <v>183.88685607910156</v>
      </c>
    </row>
    <row r="551" spans="1:4" x14ac:dyDescent="0.2">
      <c r="A551" s="2">
        <v>45400.958333333336</v>
      </c>
      <c r="C551">
        <v>55.700519561767578</v>
      </c>
      <c r="D551">
        <v>14.136439323425293</v>
      </c>
    </row>
    <row r="552" spans="1:4" x14ac:dyDescent="0.2">
      <c r="A552" s="2">
        <v>45401</v>
      </c>
      <c r="B552">
        <v>185.74591064453125</v>
      </c>
    </row>
    <row r="553" spans="1:4" x14ac:dyDescent="0.2">
      <c r="A553" s="2">
        <v>45403.958333333336</v>
      </c>
      <c r="C553">
        <v>56.713569641113281</v>
      </c>
      <c r="D553">
        <v>14.3311767578125</v>
      </c>
    </row>
    <row r="554" spans="1:4" x14ac:dyDescent="0.2">
      <c r="A554" s="2">
        <v>45404</v>
      </c>
      <c r="B554">
        <v>189.084228515625</v>
      </c>
    </row>
    <row r="555" spans="1:4" x14ac:dyDescent="0.2">
      <c r="A555" s="2">
        <v>45404.958333333336</v>
      </c>
      <c r="C555">
        <v>57.930927276611328</v>
      </c>
      <c r="D555">
        <v>14.55427360534668</v>
      </c>
    </row>
    <row r="556" spans="1:4" x14ac:dyDescent="0.2">
      <c r="A556" s="2">
        <v>45405</v>
      </c>
      <c r="B556">
        <v>192.14266967773438</v>
      </c>
    </row>
    <row r="557" spans="1:4" x14ac:dyDescent="0.2">
      <c r="A557" s="2">
        <v>45405.958333333336</v>
      </c>
      <c r="C557">
        <v>57.65850830078125</v>
      </c>
      <c r="D557">
        <v>14.558053970336914</v>
      </c>
    </row>
    <row r="558" spans="1:4" x14ac:dyDescent="0.2">
      <c r="A558" s="2">
        <v>45406</v>
      </c>
      <c r="B558">
        <v>191.04322814941406</v>
      </c>
    </row>
    <row r="559" spans="1:4" x14ac:dyDescent="0.2">
      <c r="A559" s="2">
        <v>45406.958333333336</v>
      </c>
      <c r="C559">
        <v>58.19482421875</v>
      </c>
      <c r="D559">
        <v>15.74916934967041</v>
      </c>
    </row>
    <row r="560" spans="1:4" x14ac:dyDescent="0.2">
      <c r="A560" s="2">
        <v>45407</v>
      </c>
      <c r="B560">
        <v>203.896728515625</v>
      </c>
    </row>
    <row r="561" spans="1:4" x14ac:dyDescent="0.2">
      <c r="A561" s="2">
        <v>45407.958333333336</v>
      </c>
      <c r="C561">
        <v>57.045574188232422</v>
      </c>
      <c r="D561">
        <v>15.628166198730469</v>
      </c>
    </row>
    <row r="562" spans="1:4" x14ac:dyDescent="0.2">
      <c r="A562" s="2">
        <v>45408</v>
      </c>
      <c r="B562">
        <v>204.24656677246094</v>
      </c>
    </row>
    <row r="563" spans="1:4" x14ac:dyDescent="0.2">
      <c r="A563" s="2">
        <v>45410.958333333336</v>
      </c>
      <c r="C563">
        <v>57.649993896484375</v>
      </c>
      <c r="D563">
        <v>14.278237342834473</v>
      </c>
    </row>
    <row r="564" spans="1:4" x14ac:dyDescent="0.2">
      <c r="A564" s="2">
        <v>45411</v>
      </c>
      <c r="B564">
        <v>203.54690551757812</v>
      </c>
    </row>
    <row r="565" spans="1:4" x14ac:dyDescent="0.2">
      <c r="A565" s="2">
        <v>45411.958333333336</v>
      </c>
      <c r="C565">
        <v>57.556354522705078</v>
      </c>
      <c r="D565">
        <v>14.189376831054688</v>
      </c>
    </row>
    <row r="566" spans="1:4" x14ac:dyDescent="0.2">
      <c r="A566" s="2">
        <v>45412</v>
      </c>
      <c r="B566">
        <v>202.59738159179688</v>
      </c>
    </row>
    <row r="567" spans="1:4" x14ac:dyDescent="0.2">
      <c r="A567" s="2">
        <v>45413</v>
      </c>
      <c r="B567">
        <v>203.34698486328125</v>
      </c>
    </row>
    <row r="568" spans="1:4" x14ac:dyDescent="0.2">
      <c r="A568" s="2">
        <v>45413.958333333336</v>
      </c>
      <c r="C568">
        <v>57.420139312744141</v>
      </c>
      <c r="D568">
        <v>14.217737197875977</v>
      </c>
    </row>
    <row r="569" spans="1:4" x14ac:dyDescent="0.2">
      <c r="A569" s="2">
        <v>45414</v>
      </c>
      <c r="B569">
        <v>200.89823913574219</v>
      </c>
    </row>
    <row r="570" spans="1:4" x14ac:dyDescent="0.2">
      <c r="A570" s="2">
        <v>45414.958333333336</v>
      </c>
      <c r="C570">
        <v>57.581890106201172</v>
      </c>
      <c r="D570">
        <v>14.423818588256836</v>
      </c>
    </row>
    <row r="571" spans="1:4" x14ac:dyDescent="0.2">
      <c r="A571" s="2">
        <v>45415</v>
      </c>
      <c r="B571">
        <v>202.24757385253906</v>
      </c>
    </row>
    <row r="572" spans="1:4" x14ac:dyDescent="0.2">
      <c r="A572" s="2">
        <v>45417.958333333336</v>
      </c>
      <c r="C572">
        <v>58.084159851074219</v>
      </c>
      <c r="D572">
        <v>14.752792358398438</v>
      </c>
    </row>
    <row r="573" spans="1:4" x14ac:dyDescent="0.2">
      <c r="A573" s="2">
        <v>45418.958333333336</v>
      </c>
      <c r="C573">
        <v>59.250438690185547</v>
      </c>
      <c r="D573">
        <v>15.166847229003906</v>
      </c>
    </row>
    <row r="574" spans="1:4" x14ac:dyDescent="0.2">
      <c r="A574" s="2">
        <v>45419</v>
      </c>
      <c r="B574">
        <v>210.24351501464844</v>
      </c>
    </row>
    <row r="575" spans="1:4" x14ac:dyDescent="0.2">
      <c r="A575" s="2">
        <v>45419.958333333336</v>
      </c>
      <c r="C575">
        <v>59.539882659912109</v>
      </c>
      <c r="D575">
        <v>15.125251770019531</v>
      </c>
    </row>
    <row r="576" spans="1:4" x14ac:dyDescent="0.2">
      <c r="A576" s="2">
        <v>45420</v>
      </c>
      <c r="B576">
        <v>211.54286193847656</v>
      </c>
    </row>
    <row r="577" spans="1:4" x14ac:dyDescent="0.2">
      <c r="A577" s="2">
        <v>45420.958333333336</v>
      </c>
      <c r="C577">
        <v>60.110248565673828</v>
      </c>
      <c r="D577">
        <v>15.030718803405762</v>
      </c>
    </row>
    <row r="578" spans="1:4" x14ac:dyDescent="0.2">
      <c r="A578" s="2">
        <v>45421</v>
      </c>
      <c r="B578">
        <v>213.14202880859375</v>
      </c>
    </row>
    <row r="579" spans="1:4" x14ac:dyDescent="0.2">
      <c r="A579" s="2">
        <v>45421.958333333336</v>
      </c>
      <c r="C579">
        <v>60.612510681152344</v>
      </c>
      <c r="D579">
        <v>15.009922027587891</v>
      </c>
    </row>
    <row r="580" spans="1:4" x14ac:dyDescent="0.2">
      <c r="A580" s="2">
        <v>45422</v>
      </c>
      <c r="B580">
        <v>213.84169006347656</v>
      </c>
    </row>
    <row r="581" spans="1:4" x14ac:dyDescent="0.2">
      <c r="A581" s="2">
        <v>45424.958333333336</v>
      </c>
      <c r="C581">
        <v>60.978572845458984</v>
      </c>
      <c r="D581">
        <v>14.938076972961426</v>
      </c>
    </row>
    <row r="582" spans="1:4" x14ac:dyDescent="0.2">
      <c r="A582" s="2">
        <v>45425</v>
      </c>
      <c r="B582">
        <v>214.44139099121094</v>
      </c>
    </row>
    <row r="583" spans="1:4" x14ac:dyDescent="0.2">
      <c r="A583" s="2">
        <v>45425.958333333336</v>
      </c>
      <c r="C583">
        <v>60.884929656982422</v>
      </c>
      <c r="D583">
        <v>15.15361213684082</v>
      </c>
    </row>
    <row r="584" spans="1:4" x14ac:dyDescent="0.2">
      <c r="A584" s="2">
        <v>45426</v>
      </c>
      <c r="B584">
        <v>217.09004211425781</v>
      </c>
    </row>
    <row r="585" spans="1:4" x14ac:dyDescent="0.2">
      <c r="A585" s="2">
        <v>45426.958333333336</v>
      </c>
      <c r="C585">
        <v>61.080730438232422</v>
      </c>
      <c r="D585">
        <v>15.178190231323242</v>
      </c>
    </row>
    <row r="586" spans="1:4" x14ac:dyDescent="0.2">
      <c r="A586" s="2">
        <v>45427</v>
      </c>
      <c r="B586">
        <v>212.99212646484375</v>
      </c>
    </row>
    <row r="587" spans="1:4" x14ac:dyDescent="0.2">
      <c r="A587" s="2">
        <v>45427.958333333336</v>
      </c>
      <c r="C587">
        <v>60.961551666259766</v>
      </c>
      <c r="D587">
        <v>14.989124298095703</v>
      </c>
    </row>
    <row r="588" spans="1:4" x14ac:dyDescent="0.2">
      <c r="A588" s="2">
        <v>45428</v>
      </c>
      <c r="B588">
        <v>214.79119873046875</v>
      </c>
    </row>
    <row r="589" spans="1:4" x14ac:dyDescent="0.2">
      <c r="A589" s="2">
        <v>45428.958333333336</v>
      </c>
      <c r="C589">
        <v>61.557453155517578</v>
      </c>
      <c r="D589">
        <v>15.212900161743164</v>
      </c>
    </row>
    <row r="590" spans="1:4" x14ac:dyDescent="0.2">
      <c r="A590" s="2">
        <v>45429</v>
      </c>
      <c r="B590">
        <v>216.6402587890625</v>
      </c>
    </row>
    <row r="591" spans="1:4" x14ac:dyDescent="0.2">
      <c r="A591" s="2">
        <v>45431.958333333336</v>
      </c>
      <c r="C591">
        <v>62.059726715087891</v>
      </c>
      <c r="D591">
        <v>15.261547088623047</v>
      </c>
    </row>
    <row r="592" spans="1:4" x14ac:dyDescent="0.2">
      <c r="A592" s="2">
        <v>45432</v>
      </c>
      <c r="B592">
        <v>216.6402587890625</v>
      </c>
    </row>
    <row r="593" spans="1:4" x14ac:dyDescent="0.2">
      <c r="A593" s="2">
        <v>45432.958333333336</v>
      </c>
      <c r="C593">
        <v>62.096065521240234</v>
      </c>
      <c r="D593">
        <v>15.131173133850098</v>
      </c>
    </row>
    <row r="594" spans="1:4" x14ac:dyDescent="0.2">
      <c r="A594" s="2">
        <v>45433</v>
      </c>
      <c r="B594">
        <v>217.43986511230469</v>
      </c>
    </row>
    <row r="595" spans="1:4" x14ac:dyDescent="0.2">
      <c r="A595" s="2">
        <v>45433.958333333336</v>
      </c>
      <c r="C595">
        <v>61.350990295410156</v>
      </c>
      <c r="D595">
        <v>15.082526206970215</v>
      </c>
    </row>
    <row r="596" spans="1:4" x14ac:dyDescent="0.2">
      <c r="A596" s="2">
        <v>45434</v>
      </c>
      <c r="B596">
        <v>211.34295654296875</v>
      </c>
    </row>
    <row r="597" spans="1:4" x14ac:dyDescent="0.2">
      <c r="A597" s="2">
        <v>45434.958333333336</v>
      </c>
      <c r="C597">
        <v>60.960277557373047</v>
      </c>
      <c r="D597">
        <v>15.125335693359375</v>
      </c>
    </row>
    <row r="598" spans="1:4" x14ac:dyDescent="0.2">
      <c r="A598" s="2">
        <v>45435</v>
      </c>
      <c r="B598">
        <v>214.89115905761719</v>
      </c>
    </row>
    <row r="599" spans="1:4" x14ac:dyDescent="0.2">
      <c r="A599" s="2">
        <v>45435.958333333336</v>
      </c>
      <c r="C599">
        <v>61.069313049316406</v>
      </c>
      <c r="D599">
        <v>15.298519134521484</v>
      </c>
    </row>
    <row r="600" spans="1:4" x14ac:dyDescent="0.2">
      <c r="A600" s="2">
        <v>45436</v>
      </c>
      <c r="B600">
        <v>216.04057312011719</v>
      </c>
    </row>
    <row r="601" spans="1:4" x14ac:dyDescent="0.2">
      <c r="A601" s="2">
        <v>45438.958333333336</v>
      </c>
      <c r="C601">
        <v>60.933021545410156</v>
      </c>
      <c r="D601">
        <v>15.284897804260254</v>
      </c>
    </row>
    <row r="602" spans="1:4" x14ac:dyDescent="0.2">
      <c r="A602" s="2">
        <v>45439.958333333336</v>
      </c>
      <c r="C602">
        <v>61.596324920654297</v>
      </c>
      <c r="D602">
        <v>15.24208927154541</v>
      </c>
    </row>
    <row r="603" spans="1:4" x14ac:dyDescent="0.2">
      <c r="A603" s="2">
        <v>45440</v>
      </c>
      <c r="B603">
        <v>218.98908996582031</v>
      </c>
    </row>
    <row r="604" spans="1:4" x14ac:dyDescent="0.2">
      <c r="A604" s="2">
        <v>45440.958333333336</v>
      </c>
      <c r="C604">
        <v>60.814895629882812</v>
      </c>
      <c r="D604">
        <v>14.921018600463867</v>
      </c>
    </row>
    <row r="605" spans="1:4" x14ac:dyDescent="0.2">
      <c r="A605" s="2">
        <v>45441</v>
      </c>
      <c r="B605">
        <v>214.04158020019531</v>
      </c>
    </row>
    <row r="606" spans="1:4" x14ac:dyDescent="0.2">
      <c r="A606" s="2">
        <v>45441.958333333336</v>
      </c>
      <c r="C606">
        <v>61.596324920654297</v>
      </c>
      <c r="D606">
        <v>15.01247501373291</v>
      </c>
    </row>
    <row r="607" spans="1:4" x14ac:dyDescent="0.2">
      <c r="A607" s="2">
        <v>45442</v>
      </c>
      <c r="B607">
        <v>218.43936157226562</v>
      </c>
    </row>
    <row r="608" spans="1:4" x14ac:dyDescent="0.2">
      <c r="A608" s="2">
        <v>45442.958333333336</v>
      </c>
      <c r="C608">
        <v>61.514537811279297</v>
      </c>
      <c r="D608">
        <v>14.813994407653809</v>
      </c>
    </row>
    <row r="609" spans="1:4" x14ac:dyDescent="0.2">
      <c r="A609" s="2">
        <v>45443</v>
      </c>
      <c r="B609">
        <v>219.88861083984375</v>
      </c>
    </row>
    <row r="610" spans="1:4" x14ac:dyDescent="0.2">
      <c r="A610" s="2">
        <v>45445.958333333336</v>
      </c>
      <c r="C610">
        <v>61.841648101806641</v>
      </c>
      <c r="D610">
        <v>14.946314811706543</v>
      </c>
    </row>
    <row r="611" spans="1:4" x14ac:dyDescent="0.2">
      <c r="A611" s="2">
        <v>45446</v>
      </c>
      <c r="B611">
        <v>219.08903503417969</v>
      </c>
    </row>
    <row r="612" spans="1:4" x14ac:dyDescent="0.2">
      <c r="A612" s="2">
        <v>45446.958333333336</v>
      </c>
      <c r="C612">
        <v>60.724033355712891</v>
      </c>
      <c r="D612">
        <v>14.619406700134277</v>
      </c>
    </row>
    <row r="613" spans="1:4" x14ac:dyDescent="0.2">
      <c r="A613" s="2">
        <v>45447</v>
      </c>
      <c r="B613">
        <v>214.89115905761719</v>
      </c>
    </row>
    <row r="614" spans="1:4" x14ac:dyDescent="0.2">
      <c r="A614" s="2">
        <v>45447.958333333336</v>
      </c>
      <c r="C614">
        <v>60.178855895996094</v>
      </c>
      <c r="D614">
        <v>14.603839874267578</v>
      </c>
    </row>
    <row r="615" spans="1:4" x14ac:dyDescent="0.2">
      <c r="A615" s="2">
        <v>45448</v>
      </c>
      <c r="B615">
        <v>212.54234313964844</v>
      </c>
    </row>
    <row r="616" spans="1:4" x14ac:dyDescent="0.2">
      <c r="A616" s="2">
        <v>45448.958333333336</v>
      </c>
      <c r="C616">
        <v>60.742206573486328</v>
      </c>
      <c r="D616">
        <v>14.850966453552246</v>
      </c>
    </row>
    <row r="617" spans="1:4" x14ac:dyDescent="0.2">
      <c r="A617" s="2">
        <v>45449</v>
      </c>
      <c r="B617">
        <v>216.04057312011719</v>
      </c>
    </row>
    <row r="618" spans="1:4" x14ac:dyDescent="0.2">
      <c r="A618" s="2">
        <v>45449.958333333336</v>
      </c>
      <c r="C618">
        <v>60.306064605712891</v>
      </c>
      <c r="D618">
        <v>14.882100105285645</v>
      </c>
    </row>
    <row r="619" spans="1:4" x14ac:dyDescent="0.2">
      <c r="A619" s="2">
        <v>45450</v>
      </c>
      <c r="B619">
        <v>217.1400146484375</v>
      </c>
    </row>
    <row r="620" spans="1:4" x14ac:dyDescent="0.2">
      <c r="A620" s="2">
        <v>45452.958333333336</v>
      </c>
      <c r="C620">
        <v>57.434776306152344</v>
      </c>
      <c r="D620">
        <v>14.866533279418945</v>
      </c>
    </row>
    <row r="621" spans="1:4" x14ac:dyDescent="0.2">
      <c r="A621" s="2">
        <v>45453</v>
      </c>
      <c r="B621">
        <v>214.64128112792969</v>
      </c>
    </row>
    <row r="622" spans="1:4" x14ac:dyDescent="0.2">
      <c r="A622" s="2">
        <v>45453.958333333336</v>
      </c>
      <c r="C622">
        <v>55.199539184570312</v>
      </c>
      <c r="D622">
        <v>14.3956298828125</v>
      </c>
    </row>
    <row r="623" spans="1:4" x14ac:dyDescent="0.2">
      <c r="A623" s="2">
        <v>45454</v>
      </c>
      <c r="B623">
        <v>208.94416809082031</v>
      </c>
    </row>
    <row r="624" spans="1:4" x14ac:dyDescent="0.2">
      <c r="A624" s="2">
        <v>45454.958333333336</v>
      </c>
      <c r="C624">
        <v>56.171775817871094</v>
      </c>
      <c r="D624">
        <v>14.555192947387695</v>
      </c>
    </row>
    <row r="625" spans="1:4" x14ac:dyDescent="0.2">
      <c r="A625" s="2">
        <v>45455</v>
      </c>
      <c r="B625">
        <v>208.59434509277344</v>
      </c>
    </row>
    <row r="626" spans="1:4" x14ac:dyDescent="0.2">
      <c r="A626" s="2">
        <v>45455.958333333336</v>
      </c>
      <c r="C626">
        <v>54.518058776855469</v>
      </c>
      <c r="D626">
        <v>14.132936477661133</v>
      </c>
    </row>
    <row r="627" spans="1:4" x14ac:dyDescent="0.2">
      <c r="A627" s="2">
        <v>45456</v>
      </c>
      <c r="B627">
        <v>205.04615783691406</v>
      </c>
    </row>
    <row r="628" spans="1:4" x14ac:dyDescent="0.2">
      <c r="A628" s="2">
        <v>45456.958333333336</v>
      </c>
      <c r="C628">
        <v>53.073329925537109</v>
      </c>
      <c r="D628">
        <v>14.023966789245605</v>
      </c>
    </row>
    <row r="629" spans="1:4" x14ac:dyDescent="0.2">
      <c r="A629" s="2">
        <v>45457</v>
      </c>
      <c r="B629">
        <v>201.89773559570312</v>
      </c>
    </row>
    <row r="630" spans="1:4" x14ac:dyDescent="0.2">
      <c r="A630" s="2">
        <v>45459.958333333336</v>
      </c>
      <c r="C630">
        <v>53.73663330078125</v>
      </c>
      <c r="D630">
        <v>14.249689102172852</v>
      </c>
    </row>
    <row r="631" spans="1:4" x14ac:dyDescent="0.2">
      <c r="A631" s="2">
        <v>45460</v>
      </c>
      <c r="B631">
        <v>204.79624938964844</v>
      </c>
    </row>
    <row r="632" spans="1:4" x14ac:dyDescent="0.2">
      <c r="A632" s="2">
        <v>45460.958333333336</v>
      </c>
      <c r="C632">
        <v>54.027397155761719</v>
      </c>
      <c r="D632">
        <v>14.26720142364502</v>
      </c>
    </row>
    <row r="633" spans="1:4" x14ac:dyDescent="0.2">
      <c r="A633" s="2">
        <v>45461</v>
      </c>
      <c r="B633">
        <v>205.89570617675781</v>
      </c>
    </row>
    <row r="634" spans="1:4" x14ac:dyDescent="0.2">
      <c r="A634" s="2">
        <v>45461.958333333336</v>
      </c>
      <c r="C634">
        <v>53.345920562744141</v>
      </c>
      <c r="D634">
        <v>14.311957359313965</v>
      </c>
    </row>
    <row r="635" spans="1:4" x14ac:dyDescent="0.2">
      <c r="A635" s="2">
        <v>45462</v>
      </c>
      <c r="B635">
        <v>206.59535217285156</v>
      </c>
    </row>
    <row r="636" spans="1:4" x14ac:dyDescent="0.2">
      <c r="A636" s="2">
        <v>45462.958333333336</v>
      </c>
      <c r="C636">
        <v>54.618011474609375</v>
      </c>
      <c r="D636">
        <v>14.343091011047363</v>
      </c>
    </row>
    <row r="637" spans="1:4" x14ac:dyDescent="0.2">
      <c r="A637" s="2">
        <v>45463</v>
      </c>
      <c r="B637">
        <v>207.94468688964844</v>
      </c>
    </row>
    <row r="638" spans="1:4" x14ac:dyDescent="0.2">
      <c r="A638" s="2">
        <v>45463.958333333336</v>
      </c>
      <c r="C638">
        <v>53.909275054931641</v>
      </c>
      <c r="D638">
        <v>14.068722724914551</v>
      </c>
    </row>
    <row r="639" spans="1:4" x14ac:dyDescent="0.2">
      <c r="A639" s="2">
        <v>45464</v>
      </c>
      <c r="B639">
        <v>204.74630737304688</v>
      </c>
    </row>
    <row r="640" spans="1:4" x14ac:dyDescent="0.2">
      <c r="A640" s="2">
        <v>45466.958333333336</v>
      </c>
      <c r="C640">
        <v>55.672027587890625</v>
      </c>
      <c r="D640">
        <v>14.440385818481445</v>
      </c>
    </row>
    <row r="641" spans="1:4" x14ac:dyDescent="0.2">
      <c r="A641" s="2">
        <v>45467</v>
      </c>
      <c r="B641">
        <v>207.44493103027344</v>
      </c>
    </row>
    <row r="642" spans="1:4" x14ac:dyDescent="0.2">
      <c r="A642" s="2">
        <v>45467.958333333336</v>
      </c>
      <c r="C642">
        <v>55.026897430419922</v>
      </c>
      <c r="D642">
        <v>14.27109432220459</v>
      </c>
    </row>
    <row r="643" spans="1:4" x14ac:dyDescent="0.2">
      <c r="A643" s="2">
        <v>45468</v>
      </c>
      <c r="B643">
        <v>206.04563903808594</v>
      </c>
    </row>
    <row r="644" spans="1:4" x14ac:dyDescent="0.2">
      <c r="A644" s="2">
        <v>45468.958333333336</v>
      </c>
      <c r="C644">
        <v>54.745220184326172</v>
      </c>
      <c r="D644">
        <v>14.27109432220459</v>
      </c>
    </row>
    <row r="645" spans="1:4" x14ac:dyDescent="0.2">
      <c r="A645" s="2">
        <v>45469</v>
      </c>
      <c r="B645">
        <v>205.74578857421875</v>
      </c>
    </row>
    <row r="646" spans="1:4" x14ac:dyDescent="0.2">
      <c r="A646" s="2">
        <v>45469.958333333336</v>
      </c>
      <c r="C646">
        <v>54.536231994628906</v>
      </c>
      <c r="D646">
        <v>14.383955001831055</v>
      </c>
    </row>
    <row r="647" spans="1:4" x14ac:dyDescent="0.2">
      <c r="A647" s="2">
        <v>45470</v>
      </c>
      <c r="B647">
        <v>209.64381408691406</v>
      </c>
    </row>
    <row r="648" spans="1:4" x14ac:dyDescent="0.2">
      <c r="A648" s="2">
        <v>45470.958333333336</v>
      </c>
      <c r="C648">
        <v>54.09100341796875</v>
      </c>
      <c r="D648">
        <v>14.504599571228027</v>
      </c>
    </row>
    <row r="649" spans="1:4" x14ac:dyDescent="0.2">
      <c r="A649" s="2">
        <v>45471</v>
      </c>
      <c r="B649">
        <v>208.79423522949219</v>
      </c>
    </row>
    <row r="650" spans="1:4" x14ac:dyDescent="0.2">
      <c r="A650" s="2">
        <v>45473.958333333336</v>
      </c>
      <c r="C650">
        <v>56.035476684570312</v>
      </c>
      <c r="D650">
        <v>14.989124298095703</v>
      </c>
    </row>
    <row r="651" spans="1:4" x14ac:dyDescent="0.2">
      <c r="A651" s="2">
        <v>45474</v>
      </c>
      <c r="B651">
        <v>213.09208679199219</v>
      </c>
    </row>
    <row r="652" spans="1:4" x14ac:dyDescent="0.2">
      <c r="A652" s="2">
        <v>45474.958333333336</v>
      </c>
      <c r="C652">
        <v>55.63568115234375</v>
      </c>
      <c r="D652">
        <v>14.808157920837402</v>
      </c>
    </row>
    <row r="653" spans="1:4" x14ac:dyDescent="0.2">
      <c r="A653" s="2">
        <v>45475</v>
      </c>
      <c r="B653">
        <v>210.643310546875</v>
      </c>
    </row>
    <row r="654" spans="1:4" x14ac:dyDescent="0.2">
      <c r="A654" s="2">
        <v>45475.958333333336</v>
      </c>
      <c r="C654">
        <v>56.998630523681641</v>
      </c>
      <c r="D654">
        <v>15.317978858947754</v>
      </c>
    </row>
    <row r="655" spans="1:4" x14ac:dyDescent="0.2">
      <c r="A655" s="2">
        <v>45476</v>
      </c>
      <c r="B655">
        <v>218.03955078125</v>
      </c>
    </row>
    <row r="656" spans="1:4" x14ac:dyDescent="0.2">
      <c r="A656" s="2">
        <v>45476.958333333336</v>
      </c>
      <c r="C656">
        <v>58.079906463623047</v>
      </c>
      <c r="D656">
        <v>15.440568923950195</v>
      </c>
    </row>
    <row r="657" spans="1:4" x14ac:dyDescent="0.2">
      <c r="A657" s="2">
        <v>45477</v>
      </c>
      <c r="B657">
        <v>224.23643493652344</v>
      </c>
    </row>
    <row r="658" spans="1:4" x14ac:dyDescent="0.2">
      <c r="A658" s="2">
        <v>45477.958333333336</v>
      </c>
      <c r="C658">
        <v>57.843662261962891</v>
      </c>
      <c r="D658">
        <v>15.240142822265625</v>
      </c>
    </row>
    <row r="659" spans="1:4" x14ac:dyDescent="0.2">
      <c r="A659" s="2">
        <v>45478</v>
      </c>
      <c r="B659">
        <v>220.4383544921875</v>
      </c>
    </row>
    <row r="660" spans="1:4" x14ac:dyDescent="0.2">
      <c r="A660" s="2">
        <v>45480.958333333336</v>
      </c>
      <c r="C660">
        <v>56.825992584228516</v>
      </c>
      <c r="D660">
        <v>15.053338050842285</v>
      </c>
    </row>
    <row r="661" spans="1:4" x14ac:dyDescent="0.2">
      <c r="A661" s="2">
        <v>45481</v>
      </c>
      <c r="B661">
        <v>221.93759155273438</v>
      </c>
    </row>
    <row r="662" spans="1:4" x14ac:dyDescent="0.2">
      <c r="A662" s="2">
        <v>45481.958333333336</v>
      </c>
      <c r="C662">
        <v>55.490299224853516</v>
      </c>
      <c r="D662">
        <v>14.981340408325195</v>
      </c>
    </row>
    <row r="663" spans="1:4" x14ac:dyDescent="0.2">
      <c r="A663" s="2">
        <v>45482</v>
      </c>
      <c r="B663">
        <v>216.6402587890625</v>
      </c>
    </row>
    <row r="664" spans="1:4" x14ac:dyDescent="0.2">
      <c r="A664" s="2">
        <v>45482.958333333336</v>
      </c>
      <c r="C664">
        <v>55.990047454833984</v>
      </c>
      <c r="D664">
        <v>15.01247501373291</v>
      </c>
    </row>
    <row r="665" spans="1:4" x14ac:dyDescent="0.2">
      <c r="A665" s="2">
        <v>45483</v>
      </c>
      <c r="B665">
        <v>219.43885803222656</v>
      </c>
    </row>
    <row r="666" spans="1:4" x14ac:dyDescent="0.2">
      <c r="A666" s="2">
        <v>45483.958333333336</v>
      </c>
      <c r="C666">
        <v>56.353500366210938</v>
      </c>
      <c r="D666">
        <v>14.901559829711914</v>
      </c>
    </row>
    <row r="667" spans="1:4" x14ac:dyDescent="0.2">
      <c r="A667" s="2">
        <v>45484</v>
      </c>
      <c r="B667">
        <v>222.48731994628906</v>
      </c>
    </row>
    <row r="668" spans="1:4" x14ac:dyDescent="0.2">
      <c r="A668" s="2">
        <v>45484.958333333336</v>
      </c>
      <c r="C668">
        <v>56.735130310058594</v>
      </c>
      <c r="D668">
        <v>14.889883995056152</v>
      </c>
    </row>
    <row r="669" spans="1:4" x14ac:dyDescent="0.2">
      <c r="A669" s="2">
        <v>45485</v>
      </c>
      <c r="B669">
        <v>222.33738708496094</v>
      </c>
    </row>
    <row r="670" spans="1:4" x14ac:dyDescent="0.2">
      <c r="A670" s="2">
        <v>45487.958333333336</v>
      </c>
      <c r="C670">
        <v>57.007720947265625</v>
      </c>
      <c r="D670">
        <v>14.84123706817627</v>
      </c>
    </row>
    <row r="671" spans="1:4" x14ac:dyDescent="0.2">
      <c r="A671" s="2">
        <v>45488</v>
      </c>
      <c r="B671">
        <v>225.63571166992188</v>
      </c>
    </row>
    <row r="672" spans="1:4" x14ac:dyDescent="0.2">
      <c r="A672" s="2">
        <v>45488.958333333336</v>
      </c>
      <c r="C672">
        <v>56.853248596191406</v>
      </c>
      <c r="D672">
        <v>14.701133728027344</v>
      </c>
    </row>
    <row r="673" spans="1:4" x14ac:dyDescent="0.2">
      <c r="A673" s="2">
        <v>45489</v>
      </c>
      <c r="B673">
        <v>227.23490905761719</v>
      </c>
    </row>
    <row r="674" spans="1:4" x14ac:dyDescent="0.2">
      <c r="A674" s="2">
        <v>45489.958333333336</v>
      </c>
      <c r="C674">
        <v>57.271221160888672</v>
      </c>
      <c r="D674">
        <v>14.81204891204834</v>
      </c>
    </row>
    <row r="675" spans="1:4" x14ac:dyDescent="0.2">
      <c r="A675" s="2">
        <v>45490</v>
      </c>
      <c r="B675">
        <v>230.58320617675781</v>
      </c>
    </row>
    <row r="676" spans="1:4" x14ac:dyDescent="0.2">
      <c r="A676" s="2">
        <v>45490.958333333336</v>
      </c>
      <c r="C676">
        <v>57.834579467773438</v>
      </c>
      <c r="D676">
        <v>14.880154609680176</v>
      </c>
    </row>
    <row r="677" spans="1:4" x14ac:dyDescent="0.2">
      <c r="A677" s="2">
        <v>45491</v>
      </c>
      <c r="B677">
        <v>228.48429870605469</v>
      </c>
    </row>
    <row r="678" spans="1:4" x14ac:dyDescent="0.2">
      <c r="A678" s="2">
        <v>45491.958333333336</v>
      </c>
      <c r="C678">
        <v>57.289394378662109</v>
      </c>
      <c r="D678">
        <v>14.603839874267578</v>
      </c>
    </row>
    <row r="679" spans="1:4" x14ac:dyDescent="0.2">
      <c r="A679" s="2">
        <v>45492</v>
      </c>
      <c r="B679">
        <v>228.53422546386719</v>
      </c>
    </row>
    <row r="680" spans="1:4" x14ac:dyDescent="0.2">
      <c r="A680" s="2">
        <v>45494.958333333336</v>
      </c>
      <c r="C680">
        <v>58.634174346923828</v>
      </c>
      <c r="D680">
        <v>15.051392555236816</v>
      </c>
    </row>
    <row r="681" spans="1:4" x14ac:dyDescent="0.2">
      <c r="A681" s="2">
        <v>45495</v>
      </c>
      <c r="B681">
        <v>230.73313903808594</v>
      </c>
    </row>
    <row r="682" spans="1:4" x14ac:dyDescent="0.2">
      <c r="A682" s="2">
        <v>45495.958333333336</v>
      </c>
      <c r="C682">
        <v>58.779560089111328</v>
      </c>
      <c r="D682">
        <v>15.257656097412109</v>
      </c>
    </row>
    <row r="683" spans="1:4" x14ac:dyDescent="0.2">
      <c r="A683" s="2">
        <v>45496</v>
      </c>
      <c r="B683">
        <v>230.38330078125</v>
      </c>
    </row>
    <row r="684" spans="1:4" x14ac:dyDescent="0.2">
      <c r="A684" s="2">
        <v>45496.958333333336</v>
      </c>
      <c r="C684">
        <v>58.225288391113281</v>
      </c>
      <c r="D684">
        <v>13.988941192626953</v>
      </c>
    </row>
    <row r="685" spans="1:4" x14ac:dyDescent="0.2">
      <c r="A685" s="2">
        <v>45497</v>
      </c>
      <c r="B685">
        <v>228.28436279296875</v>
      </c>
    </row>
    <row r="686" spans="1:4" x14ac:dyDescent="0.2">
      <c r="A686" s="2">
        <v>45497.958333333336</v>
      </c>
      <c r="C686">
        <v>58.661430358886719</v>
      </c>
      <c r="D686">
        <v>14.031750679016113</v>
      </c>
    </row>
    <row r="687" spans="1:4" x14ac:dyDescent="0.2">
      <c r="A687" s="2">
        <v>45498</v>
      </c>
      <c r="B687">
        <v>227.78462219238281</v>
      </c>
    </row>
    <row r="688" spans="1:4" x14ac:dyDescent="0.2">
      <c r="A688" s="2">
        <v>45498.958333333336</v>
      </c>
      <c r="C688">
        <v>58.570568084716797</v>
      </c>
      <c r="D688">
        <v>14.027858734130859</v>
      </c>
    </row>
    <row r="689" spans="1:4" x14ac:dyDescent="0.2">
      <c r="A689" s="2">
        <v>45499</v>
      </c>
      <c r="B689">
        <v>231.28285217285156</v>
      </c>
    </row>
    <row r="690" spans="1:4" x14ac:dyDescent="0.2">
      <c r="A690" s="2">
        <v>45501.958333333336</v>
      </c>
      <c r="C690">
        <v>58.070819854736328</v>
      </c>
      <c r="D690">
        <v>13.932510375976562</v>
      </c>
    </row>
    <row r="691" spans="1:4" x14ac:dyDescent="0.2">
      <c r="A691" s="2">
        <v>45502</v>
      </c>
      <c r="B691">
        <v>232.63217163085938</v>
      </c>
    </row>
    <row r="692" spans="1:4" x14ac:dyDescent="0.2">
      <c r="A692" s="2">
        <v>45502.958333333336</v>
      </c>
      <c r="C692">
        <v>58.37066650390625</v>
      </c>
      <c r="D692">
        <v>14.218555450439453</v>
      </c>
    </row>
    <row r="693" spans="1:4" x14ac:dyDescent="0.2">
      <c r="A693" s="2">
        <v>45503</v>
      </c>
      <c r="B693">
        <v>233.93150329589844</v>
      </c>
    </row>
    <row r="694" spans="1:4" x14ac:dyDescent="0.2">
      <c r="A694" s="2">
        <v>45503.958333333336</v>
      </c>
      <c r="C694">
        <v>57.661937713623047</v>
      </c>
      <c r="D694">
        <v>14.045372009277344</v>
      </c>
    </row>
    <row r="695" spans="1:4" x14ac:dyDescent="0.2">
      <c r="A695" s="2">
        <v>45504</v>
      </c>
      <c r="B695">
        <v>233.681640625</v>
      </c>
    </row>
    <row r="696" spans="1:4" x14ac:dyDescent="0.2">
      <c r="A696" s="2">
        <v>45504.958333333336</v>
      </c>
      <c r="C696">
        <v>55.84466552734375</v>
      </c>
      <c r="D696">
        <v>13.61533260345459</v>
      </c>
    </row>
    <row r="697" spans="1:4" x14ac:dyDescent="0.2">
      <c r="A697" s="2">
        <v>45505</v>
      </c>
      <c r="B697">
        <v>222.78713989257812</v>
      </c>
    </row>
    <row r="698" spans="1:4" x14ac:dyDescent="0.2">
      <c r="A698" s="2">
        <v>45505.958333333336</v>
      </c>
      <c r="C698">
        <v>54.209121704101562</v>
      </c>
      <c r="D698">
        <v>12.817520141601562</v>
      </c>
    </row>
    <row r="699" spans="1:4" x14ac:dyDescent="0.2">
      <c r="A699" s="2">
        <v>45506</v>
      </c>
      <c r="B699">
        <v>208.99415588378906</v>
      </c>
    </row>
    <row r="700" spans="1:4" x14ac:dyDescent="0.2">
      <c r="A700" s="2">
        <v>45508.958333333336</v>
      </c>
      <c r="C700">
        <v>53.2459716796875</v>
      </c>
      <c r="D700">
        <v>12.488667488098145</v>
      </c>
    </row>
    <row r="701" spans="1:4" x14ac:dyDescent="0.2">
      <c r="A701" s="2">
        <v>45509</v>
      </c>
      <c r="B701">
        <v>206.09561157226562</v>
      </c>
    </row>
    <row r="702" spans="1:4" x14ac:dyDescent="0.2">
      <c r="A702" s="2">
        <v>45509.958333333336</v>
      </c>
      <c r="C702">
        <v>52.54632568359375</v>
      </c>
      <c r="D702">
        <v>12.490612983703613</v>
      </c>
    </row>
    <row r="703" spans="1:4" x14ac:dyDescent="0.2">
      <c r="A703" s="2">
        <v>45510</v>
      </c>
      <c r="B703">
        <v>208.09458923339844</v>
      </c>
    </row>
    <row r="704" spans="1:4" x14ac:dyDescent="0.2">
      <c r="A704" s="2">
        <v>45510.958333333336</v>
      </c>
      <c r="C704">
        <v>54.027397155761719</v>
      </c>
      <c r="D704">
        <v>12.685200691223145</v>
      </c>
    </row>
    <row r="705" spans="1:4" x14ac:dyDescent="0.2">
      <c r="A705" s="2">
        <v>45511</v>
      </c>
      <c r="B705">
        <v>214.64128112792969</v>
      </c>
    </row>
    <row r="706" spans="1:4" x14ac:dyDescent="0.2">
      <c r="A706" s="2">
        <v>45511.958333333336</v>
      </c>
      <c r="C706">
        <v>53.991050720214844</v>
      </c>
      <c r="D706">
        <v>12.735794067382812</v>
      </c>
    </row>
    <row r="707" spans="1:4" x14ac:dyDescent="0.2">
      <c r="A707" s="2">
        <v>45512</v>
      </c>
      <c r="B707">
        <v>213.89166259765625</v>
      </c>
    </row>
    <row r="708" spans="1:4" x14ac:dyDescent="0.2">
      <c r="A708" s="2">
        <v>45512.958333333336</v>
      </c>
      <c r="C708">
        <v>53.836585998535156</v>
      </c>
      <c r="D708">
        <v>12.932327270507812</v>
      </c>
    </row>
    <row r="709" spans="1:4" x14ac:dyDescent="0.2">
      <c r="A709" s="2">
        <v>45513</v>
      </c>
      <c r="B709">
        <v>218.13951110839844</v>
      </c>
    </row>
    <row r="710" spans="1:4" x14ac:dyDescent="0.2">
      <c r="A710" s="2">
        <v>45515.958333333336</v>
      </c>
      <c r="C710">
        <v>53.836585998535156</v>
      </c>
      <c r="D710">
        <v>12.947894096374512</v>
      </c>
    </row>
    <row r="711" spans="1:4" x14ac:dyDescent="0.2">
      <c r="A711" s="2">
        <v>45516</v>
      </c>
      <c r="B711">
        <v>219.98857116699219</v>
      </c>
    </row>
    <row r="712" spans="1:4" x14ac:dyDescent="0.2">
      <c r="A712" s="2">
        <v>45516.958333333336</v>
      </c>
      <c r="C712">
        <v>53.854759216308594</v>
      </c>
      <c r="D712">
        <v>12.94011116027832</v>
      </c>
    </row>
    <row r="713" spans="1:4" x14ac:dyDescent="0.2">
      <c r="A713" s="2">
        <v>45517</v>
      </c>
      <c r="B713">
        <v>219.13900756835938</v>
      </c>
    </row>
    <row r="714" spans="1:4" x14ac:dyDescent="0.2">
      <c r="A714" s="2">
        <v>45517.958333333336</v>
      </c>
      <c r="C714">
        <v>54.290901184082031</v>
      </c>
      <c r="D714">
        <v>13.017946243286133</v>
      </c>
    </row>
    <row r="715" spans="1:4" x14ac:dyDescent="0.2">
      <c r="A715" s="2">
        <v>45518</v>
      </c>
      <c r="B715">
        <v>221.48782348632812</v>
      </c>
    </row>
    <row r="716" spans="1:4" x14ac:dyDescent="0.2">
      <c r="A716" s="2">
        <v>45518.958333333336</v>
      </c>
      <c r="C716">
        <v>54.945117950439453</v>
      </c>
      <c r="D716">
        <v>13.436311721801758</v>
      </c>
    </row>
    <row r="717" spans="1:4" x14ac:dyDescent="0.2">
      <c r="A717" s="2">
        <v>45519</v>
      </c>
      <c r="B717">
        <v>227.66450500488281</v>
      </c>
    </row>
    <row r="718" spans="1:4" x14ac:dyDescent="0.2">
      <c r="A718" s="2">
        <v>45519.958333333336</v>
      </c>
      <c r="C718">
        <v>55.535732269287109</v>
      </c>
      <c r="D718">
        <v>13.660087585449219</v>
      </c>
    </row>
    <row r="719" spans="1:4" x14ac:dyDescent="0.2">
      <c r="A719" s="2">
        <v>45520</v>
      </c>
      <c r="B719">
        <v>228.21429443359375</v>
      </c>
    </row>
    <row r="720" spans="1:4" x14ac:dyDescent="0.2">
      <c r="A720" s="2">
        <v>45522.958333333336</v>
      </c>
      <c r="C720">
        <v>55.753803253173828</v>
      </c>
      <c r="D720">
        <v>13.765164375305176</v>
      </c>
    </row>
    <row r="721" spans="1:4" x14ac:dyDescent="0.2">
      <c r="A721" s="2">
        <v>45523</v>
      </c>
      <c r="B721">
        <v>228.91401672363281</v>
      </c>
    </row>
    <row r="722" spans="1:4" x14ac:dyDescent="0.2">
      <c r="A722" s="2">
        <v>45523.958333333336</v>
      </c>
      <c r="C722">
        <v>55.344921112060547</v>
      </c>
      <c r="D722">
        <v>13.541388511657715</v>
      </c>
    </row>
    <row r="723" spans="1:4" x14ac:dyDescent="0.2">
      <c r="A723" s="2">
        <v>45524</v>
      </c>
      <c r="B723">
        <v>225.9151611328125</v>
      </c>
    </row>
    <row r="724" spans="1:4" x14ac:dyDescent="0.2">
      <c r="A724" s="2">
        <v>45524.958333333336</v>
      </c>
      <c r="C724">
        <v>55.590248107910156</v>
      </c>
      <c r="D724">
        <v>13.628952980041504</v>
      </c>
    </row>
    <row r="725" spans="1:4" x14ac:dyDescent="0.2">
      <c r="A725" s="2">
        <v>45525</v>
      </c>
      <c r="B725">
        <v>224.76560974121094</v>
      </c>
    </row>
    <row r="726" spans="1:4" x14ac:dyDescent="0.2">
      <c r="A726" s="2">
        <v>45525.958333333336</v>
      </c>
      <c r="C726">
        <v>55.4993896484375</v>
      </c>
      <c r="D726">
        <v>14.177691459655762</v>
      </c>
    </row>
    <row r="727" spans="1:4" x14ac:dyDescent="0.2">
      <c r="A727" s="2">
        <v>45526</v>
      </c>
      <c r="B727">
        <v>225.31536865234375</v>
      </c>
    </row>
    <row r="728" spans="1:4" x14ac:dyDescent="0.2">
      <c r="A728" s="2">
        <v>45526.958333333336</v>
      </c>
      <c r="C728">
        <v>55.808322906494141</v>
      </c>
      <c r="D728">
        <v>14.302227973937988</v>
      </c>
    </row>
    <row r="729" spans="1:4" x14ac:dyDescent="0.2">
      <c r="A729" s="2">
        <v>45527</v>
      </c>
      <c r="B729">
        <v>230.36347961425781</v>
      </c>
    </row>
    <row r="730" spans="1:4" x14ac:dyDescent="0.2">
      <c r="A730" s="2">
        <v>45529.958333333336</v>
      </c>
      <c r="C730">
        <v>55.835582733154297</v>
      </c>
      <c r="D730">
        <v>14.210771560668945</v>
      </c>
    </row>
    <row r="731" spans="1:4" x14ac:dyDescent="0.2">
      <c r="A731" s="2">
        <v>45530.958333333336</v>
      </c>
      <c r="C731">
        <v>56.326244354248047</v>
      </c>
      <c r="D731">
        <v>14.30028247833252</v>
      </c>
    </row>
    <row r="732" spans="1:4" x14ac:dyDescent="0.2">
      <c r="A732" s="2">
        <v>45531</v>
      </c>
      <c r="B732">
        <v>230.11357116699219</v>
      </c>
    </row>
    <row r="733" spans="1:4" x14ac:dyDescent="0.2">
      <c r="A733" s="2">
        <v>45531.958333333336</v>
      </c>
      <c r="C733">
        <v>56.226291656494141</v>
      </c>
      <c r="D733">
        <v>14.282769203186035</v>
      </c>
    </row>
    <row r="734" spans="1:4" x14ac:dyDescent="0.2">
      <c r="A734" s="2">
        <v>45532</v>
      </c>
      <c r="B734">
        <v>223.81594848632812</v>
      </c>
    </row>
    <row r="735" spans="1:4" x14ac:dyDescent="0.2">
      <c r="A735" s="2">
        <v>45532.958333333336</v>
      </c>
      <c r="C735">
        <v>56.435279846191406</v>
      </c>
      <c r="D735">
        <v>14.269148826599121</v>
      </c>
    </row>
    <row r="736" spans="1:4" x14ac:dyDescent="0.2">
      <c r="A736" s="2">
        <v>45533</v>
      </c>
      <c r="B736">
        <v>225.96514892578125</v>
      </c>
    </row>
    <row r="737" spans="1:4" x14ac:dyDescent="0.2">
      <c r="A737" s="2">
        <v>45533.958333333336</v>
      </c>
      <c r="C737">
        <v>56.862339019775391</v>
      </c>
      <c r="D737">
        <v>14.348929405212402</v>
      </c>
    </row>
    <row r="738" spans="1:4" x14ac:dyDescent="0.2">
      <c r="A738" s="2">
        <v>45534</v>
      </c>
      <c r="B738">
        <v>228.31425476074219</v>
      </c>
    </row>
    <row r="739" spans="1:4" x14ac:dyDescent="0.2">
      <c r="A739" s="2">
        <v>45536.958333333336</v>
      </c>
      <c r="C739">
        <v>56.726043701171875</v>
      </c>
      <c r="D739">
        <v>14.354766845703125</v>
      </c>
    </row>
    <row r="740" spans="1:4" x14ac:dyDescent="0.2">
      <c r="A740" s="2">
        <v>45537</v>
      </c>
      <c r="B740">
        <v>227.06471252441406</v>
      </c>
    </row>
    <row r="741" spans="1:4" x14ac:dyDescent="0.2">
      <c r="A741" s="2">
        <v>45537.958333333336</v>
      </c>
      <c r="C741">
        <v>56.044567108154297</v>
      </c>
      <c r="D741">
        <v>14.123207092285156</v>
      </c>
    </row>
    <row r="742" spans="1:4" x14ac:dyDescent="0.2">
      <c r="A742" s="2">
        <v>45538</v>
      </c>
      <c r="B742">
        <v>222.96626281738281</v>
      </c>
    </row>
    <row r="743" spans="1:4" x14ac:dyDescent="0.2">
      <c r="A743" s="2">
        <v>45538.958333333336</v>
      </c>
      <c r="C743">
        <v>56.262638092041016</v>
      </c>
      <c r="D743">
        <v>14.088180541992188</v>
      </c>
    </row>
    <row r="744" spans="1:4" x14ac:dyDescent="0.2">
      <c r="A744" s="2">
        <v>45539</v>
      </c>
      <c r="B744">
        <v>223.61601257324219</v>
      </c>
    </row>
    <row r="745" spans="1:4" x14ac:dyDescent="0.2">
      <c r="A745" s="2">
        <v>45539.958333333336</v>
      </c>
      <c r="C745">
        <v>57.798229217529297</v>
      </c>
      <c r="D745">
        <v>14.543517112731934</v>
      </c>
    </row>
    <row r="746" spans="1:4" x14ac:dyDescent="0.2">
      <c r="A746" s="2">
        <v>45540</v>
      </c>
      <c r="B746">
        <v>228.46421813964844</v>
      </c>
    </row>
    <row r="747" spans="1:4" x14ac:dyDescent="0.2">
      <c r="A747" s="2">
        <v>45540.958333333336</v>
      </c>
      <c r="C747">
        <v>56.498882293701172</v>
      </c>
      <c r="D747">
        <v>14.27109432220459</v>
      </c>
    </row>
    <row r="748" spans="1:4" x14ac:dyDescent="0.2">
      <c r="A748" s="2">
        <v>45541</v>
      </c>
      <c r="B748">
        <v>220.76708984375</v>
      </c>
    </row>
    <row r="749" spans="1:4" x14ac:dyDescent="0.2">
      <c r="A749" s="2">
        <v>45543.958333333336</v>
      </c>
      <c r="C749">
        <v>56.853248596191406</v>
      </c>
      <c r="D749">
        <v>14.623298645019531</v>
      </c>
    </row>
    <row r="750" spans="1:4" x14ac:dyDescent="0.2">
      <c r="A750" s="2">
        <v>45544</v>
      </c>
      <c r="B750">
        <v>223.91590881347656</v>
      </c>
    </row>
    <row r="751" spans="1:4" x14ac:dyDescent="0.2">
      <c r="A751" s="2">
        <v>45544.958333333336</v>
      </c>
      <c r="C751">
        <v>56.498882293701172</v>
      </c>
      <c r="D751">
        <v>13.905267715454102</v>
      </c>
    </row>
    <row r="752" spans="1:4" x14ac:dyDescent="0.2">
      <c r="A752" s="2">
        <v>45545</v>
      </c>
      <c r="B752">
        <v>216.61865234375</v>
      </c>
    </row>
    <row r="753" spans="1:4" x14ac:dyDescent="0.2">
      <c r="A753" s="2">
        <v>45545.958333333336</v>
      </c>
      <c r="C753">
        <v>56.889598846435547</v>
      </c>
      <c r="D753">
        <v>13.654250144958496</v>
      </c>
    </row>
    <row r="754" spans="1:4" x14ac:dyDescent="0.2">
      <c r="A754" s="2">
        <v>45546</v>
      </c>
      <c r="B754">
        <v>215.06922912597656</v>
      </c>
    </row>
    <row r="755" spans="1:4" x14ac:dyDescent="0.2">
      <c r="A755" s="2">
        <v>45546.958333333336</v>
      </c>
      <c r="C755">
        <v>57.671024322509766</v>
      </c>
      <c r="D755">
        <v>13.893592834472656</v>
      </c>
    </row>
    <row r="756" spans="1:4" x14ac:dyDescent="0.2">
      <c r="A756" s="2">
        <v>45547</v>
      </c>
      <c r="B756">
        <v>218.5179443359375</v>
      </c>
    </row>
    <row r="757" spans="1:4" x14ac:dyDescent="0.2">
      <c r="A757" s="2">
        <v>45547.958333333336</v>
      </c>
      <c r="C757">
        <v>57.580158233642578</v>
      </c>
      <c r="D757">
        <v>14.232176780700684</v>
      </c>
    </row>
    <row r="758" spans="1:4" x14ac:dyDescent="0.2">
      <c r="A758" s="2">
        <v>45548</v>
      </c>
      <c r="B758">
        <v>221.06698608398438</v>
      </c>
    </row>
    <row r="759" spans="1:4" x14ac:dyDescent="0.2">
      <c r="A759" s="2">
        <v>45550.958333333336</v>
      </c>
      <c r="C759">
        <v>57.507469177246094</v>
      </c>
      <c r="D759">
        <v>14.202987670898438</v>
      </c>
    </row>
    <row r="760" spans="1:4" x14ac:dyDescent="0.2">
      <c r="A760" s="2">
        <v>45551</v>
      </c>
      <c r="B760">
        <v>220.91705322265625</v>
      </c>
    </row>
    <row r="761" spans="1:4" x14ac:dyDescent="0.2">
      <c r="A761" s="2">
        <v>45551.958333333336</v>
      </c>
      <c r="C761">
        <v>58.561477661132812</v>
      </c>
      <c r="D761">
        <v>14.594110488891602</v>
      </c>
    </row>
    <row r="762" spans="1:4" x14ac:dyDescent="0.2">
      <c r="A762" s="2">
        <v>45552</v>
      </c>
      <c r="B762">
        <v>224.91554260253906</v>
      </c>
    </row>
    <row r="763" spans="1:4" x14ac:dyDescent="0.2">
      <c r="A763" s="2">
        <v>45552.958333333336</v>
      </c>
      <c r="C763">
        <v>58.288894653320312</v>
      </c>
      <c r="D763">
        <v>14.533787727355957</v>
      </c>
    </row>
    <row r="764" spans="1:4" x14ac:dyDescent="0.2">
      <c r="A764" s="2">
        <v>45553</v>
      </c>
      <c r="B764">
        <v>223.41609191894531</v>
      </c>
    </row>
    <row r="765" spans="1:4" x14ac:dyDescent="0.2">
      <c r="A765" s="2">
        <v>45553.958333333336</v>
      </c>
      <c r="C765">
        <v>59.215702056884766</v>
      </c>
      <c r="D765">
        <v>14.810103416442871</v>
      </c>
    </row>
    <row r="766" spans="1:4" x14ac:dyDescent="0.2">
      <c r="A766" s="2">
        <v>45554</v>
      </c>
      <c r="B766">
        <v>227.56454467773438</v>
      </c>
    </row>
    <row r="767" spans="1:4" x14ac:dyDescent="0.2">
      <c r="A767" s="2">
        <v>45554.958333333336</v>
      </c>
      <c r="C767">
        <v>58.861331939697266</v>
      </c>
      <c r="D767">
        <v>14.757564544677734</v>
      </c>
    </row>
    <row r="768" spans="1:4" x14ac:dyDescent="0.2">
      <c r="A768" s="2">
        <v>45555</v>
      </c>
      <c r="B768">
        <v>226.66488647460938</v>
      </c>
    </row>
    <row r="769" spans="1:4" x14ac:dyDescent="0.2">
      <c r="A769" s="2">
        <v>45557.958333333336</v>
      </c>
      <c r="C769">
        <v>56.707866668701172</v>
      </c>
      <c r="D769">
        <v>14.78286075592041</v>
      </c>
    </row>
    <row r="770" spans="1:4" x14ac:dyDescent="0.2">
      <c r="A770" s="2">
        <v>45558</v>
      </c>
      <c r="B770">
        <v>223.1162109375</v>
      </c>
    </row>
    <row r="771" spans="1:4" x14ac:dyDescent="0.2">
      <c r="A771" s="2">
        <v>45558.958333333336</v>
      </c>
      <c r="C771">
        <v>57.080410003662109</v>
      </c>
      <c r="D771">
        <v>14.849020957946777</v>
      </c>
    </row>
    <row r="772" spans="1:4" x14ac:dyDescent="0.2">
      <c r="A772" s="2">
        <v>45559</v>
      </c>
      <c r="B772">
        <v>226.31500244140625</v>
      </c>
    </row>
    <row r="773" spans="1:4" x14ac:dyDescent="0.2">
      <c r="A773" s="2">
        <v>45559.958333333336</v>
      </c>
      <c r="C773">
        <v>56.617008209228516</v>
      </c>
      <c r="D773">
        <v>14.806211471557617</v>
      </c>
    </row>
    <row r="774" spans="1:4" x14ac:dyDescent="0.2">
      <c r="A774" s="2">
        <v>45560</v>
      </c>
      <c r="B774">
        <v>223.1162109375</v>
      </c>
    </row>
    <row r="775" spans="1:4" x14ac:dyDescent="0.2">
      <c r="A775" s="2">
        <v>45560.958333333336</v>
      </c>
      <c r="C775">
        <v>57.4620361328125</v>
      </c>
      <c r="D775">
        <v>15.072796821594238</v>
      </c>
    </row>
    <row r="776" spans="1:4" x14ac:dyDescent="0.2">
      <c r="A776" s="2">
        <v>45561</v>
      </c>
      <c r="B776">
        <v>226.96476745605469</v>
      </c>
    </row>
    <row r="777" spans="1:4" x14ac:dyDescent="0.2">
      <c r="A777" s="2">
        <v>45561.958333333336</v>
      </c>
      <c r="C777">
        <v>57.516555786132812</v>
      </c>
      <c r="D777">
        <v>15.133119583129883</v>
      </c>
    </row>
    <row r="778" spans="1:4" x14ac:dyDescent="0.2">
      <c r="A778" s="2">
        <v>45562</v>
      </c>
      <c r="B778">
        <v>229.16392517089844</v>
      </c>
    </row>
    <row r="779" spans="1:4" x14ac:dyDescent="0.2">
      <c r="A779" s="2">
        <v>45564.958333333336</v>
      </c>
      <c r="C779">
        <v>55.926441192626953</v>
      </c>
      <c r="D779">
        <v>15.078635215759277</v>
      </c>
    </row>
    <row r="780" spans="1:4" x14ac:dyDescent="0.2">
      <c r="A780" s="2">
        <v>45565</v>
      </c>
      <c r="B780">
        <v>224.4656982421875</v>
      </c>
    </row>
    <row r="781" spans="1:4" x14ac:dyDescent="0.2">
      <c r="A781" s="2">
        <v>45565.958333333336</v>
      </c>
      <c r="C781">
        <v>55.553901672363281</v>
      </c>
      <c r="D781">
        <v>14.930747032165527</v>
      </c>
    </row>
    <row r="782" spans="1:4" x14ac:dyDescent="0.2">
      <c r="A782" s="2">
        <v>45566</v>
      </c>
      <c r="B782">
        <v>219.61753845214844</v>
      </c>
    </row>
    <row r="783" spans="1:4" x14ac:dyDescent="0.2">
      <c r="A783" s="2">
        <v>45566.958333333336</v>
      </c>
      <c r="C783">
        <v>55.390350341796875</v>
      </c>
      <c r="D783">
        <v>14.991069793701172</v>
      </c>
    </row>
    <row r="784" spans="1:4" x14ac:dyDescent="0.2">
      <c r="A784" s="2">
        <v>45567</v>
      </c>
      <c r="B784">
        <v>220.11734008789062</v>
      </c>
    </row>
    <row r="785" spans="1:4" x14ac:dyDescent="0.2">
      <c r="A785" s="2">
        <v>45567.958333333336</v>
      </c>
      <c r="C785">
        <v>54.599838256835938</v>
      </c>
      <c r="D785">
        <v>14.944368362426758</v>
      </c>
    </row>
    <row r="786" spans="1:4" x14ac:dyDescent="0.2">
      <c r="A786" s="2">
        <v>45568</v>
      </c>
      <c r="B786">
        <v>219.26765441894531</v>
      </c>
    </row>
    <row r="787" spans="1:4" x14ac:dyDescent="0.2">
      <c r="A787" s="2">
        <v>45568.958333333336</v>
      </c>
      <c r="C787">
        <v>55.299484252929688</v>
      </c>
      <c r="D787">
        <v>15.349112510681152</v>
      </c>
    </row>
    <row r="788" spans="1:4" x14ac:dyDescent="0.2">
      <c r="A788" s="2">
        <v>45569</v>
      </c>
      <c r="B788">
        <v>226.16505432128906</v>
      </c>
    </row>
    <row r="789" spans="1:4" x14ac:dyDescent="0.2">
      <c r="A789" s="2">
        <v>45571.958333333336</v>
      </c>
      <c r="C789">
        <v>56.162689208984375</v>
      </c>
      <c r="D789">
        <v>15.533970832824707</v>
      </c>
    </row>
    <row r="790" spans="1:4" x14ac:dyDescent="0.2">
      <c r="A790" s="2">
        <v>45572</v>
      </c>
      <c r="B790">
        <v>229.56378173828125</v>
      </c>
    </row>
    <row r="791" spans="1:4" x14ac:dyDescent="0.2">
      <c r="A791" s="2">
        <v>45572.958333333336</v>
      </c>
      <c r="C791">
        <v>56.244464874267578</v>
      </c>
      <c r="D791">
        <v>15.384138107299805</v>
      </c>
    </row>
    <row r="792" spans="1:4" x14ac:dyDescent="0.2">
      <c r="A792" s="2">
        <v>45573</v>
      </c>
      <c r="B792">
        <v>228.36422729492188</v>
      </c>
    </row>
    <row r="793" spans="1:4" x14ac:dyDescent="0.2">
      <c r="A793" s="2">
        <v>45573.958333333336</v>
      </c>
      <c r="C793">
        <v>56.426193237304688</v>
      </c>
      <c r="D793">
        <v>15.570942878723145</v>
      </c>
    </row>
    <row r="794" spans="1:4" x14ac:dyDescent="0.2">
      <c r="A794" s="2">
        <v>45574</v>
      </c>
      <c r="B794">
        <v>230.56341552734375</v>
      </c>
    </row>
    <row r="795" spans="1:4" x14ac:dyDescent="0.2">
      <c r="A795" s="2">
        <v>45574.958333333336</v>
      </c>
      <c r="C795">
        <v>56.262638092041016</v>
      </c>
      <c r="D795">
        <v>15.660453796386719</v>
      </c>
    </row>
    <row r="796" spans="1:4" x14ac:dyDescent="0.2">
      <c r="A796" s="2">
        <v>45575</v>
      </c>
      <c r="B796">
        <v>231.06321716308594</v>
      </c>
    </row>
    <row r="797" spans="1:4" x14ac:dyDescent="0.2">
      <c r="A797" s="2">
        <v>45575.958333333336</v>
      </c>
      <c r="C797">
        <v>56.480712890625</v>
      </c>
      <c r="D797">
        <v>15.818069458007812</v>
      </c>
    </row>
    <row r="798" spans="1:4" x14ac:dyDescent="0.2">
      <c r="A798" s="2">
        <v>45576</v>
      </c>
      <c r="B798">
        <v>235.761474609375</v>
      </c>
    </row>
    <row r="799" spans="1:4" x14ac:dyDescent="0.2">
      <c r="A799" s="2">
        <v>45578.958333333336</v>
      </c>
      <c r="C799">
        <v>57.171268463134766</v>
      </c>
      <c r="D799">
        <v>15.893959045410156</v>
      </c>
    </row>
    <row r="800" spans="1:4" x14ac:dyDescent="0.2">
      <c r="A800" s="2">
        <v>45579</v>
      </c>
      <c r="B800">
        <v>232.81256103515625</v>
      </c>
    </row>
    <row r="801" spans="1:4" x14ac:dyDescent="0.2">
      <c r="A801" s="2">
        <v>45579.958333333336</v>
      </c>
      <c r="C801">
        <v>57.889091491699219</v>
      </c>
      <c r="D801">
        <v>15.485323905944824</v>
      </c>
    </row>
    <row r="802" spans="1:4" x14ac:dyDescent="0.2">
      <c r="A802" s="2">
        <v>45580</v>
      </c>
      <c r="B802">
        <v>233.96212768554688</v>
      </c>
    </row>
    <row r="803" spans="1:4" x14ac:dyDescent="0.2">
      <c r="A803" s="2">
        <v>45580.958333333336</v>
      </c>
      <c r="C803">
        <v>58.5887451171875</v>
      </c>
      <c r="D803">
        <v>15.646832466125488</v>
      </c>
    </row>
    <row r="804" spans="1:4" x14ac:dyDescent="0.2">
      <c r="A804" s="2">
        <v>45581</v>
      </c>
      <c r="B804">
        <v>236.96101379394531</v>
      </c>
    </row>
    <row r="805" spans="1:4" x14ac:dyDescent="0.2">
      <c r="A805" s="2">
        <v>45581.958333333336</v>
      </c>
      <c r="C805">
        <v>59.615501403808594</v>
      </c>
      <c r="D805">
        <v>15.716882705688477</v>
      </c>
    </row>
    <row r="806" spans="1:4" x14ac:dyDescent="0.2">
      <c r="A806" s="2">
        <v>45582</v>
      </c>
      <c r="B806">
        <v>245.00799560546875</v>
      </c>
    </row>
    <row r="807" spans="1:4" x14ac:dyDescent="0.2">
      <c r="A807" s="2">
        <v>45582.958333333336</v>
      </c>
      <c r="C807">
        <v>60.215194702148438</v>
      </c>
      <c r="D807">
        <v>15.76942253112793</v>
      </c>
    </row>
    <row r="808" spans="1:4" x14ac:dyDescent="0.2">
      <c r="A808" s="2">
        <v>45583</v>
      </c>
      <c r="B808">
        <v>242.1590576171875</v>
      </c>
    </row>
    <row r="809" spans="1:4" x14ac:dyDescent="0.2">
      <c r="A809" s="2">
        <v>45585.958333333336</v>
      </c>
      <c r="C809">
        <v>59.788143157958984</v>
      </c>
      <c r="D809">
        <v>15.679911613464355</v>
      </c>
    </row>
    <row r="810" spans="1:4" x14ac:dyDescent="0.2">
      <c r="A810" s="2">
        <v>45586</v>
      </c>
      <c r="B810">
        <v>239.66000366210938</v>
      </c>
    </row>
    <row r="811" spans="1:4" x14ac:dyDescent="0.2">
      <c r="A811" s="2">
        <v>45586.958333333336</v>
      </c>
      <c r="C811">
        <v>59.697273254394531</v>
      </c>
      <c r="D811">
        <v>15.872553825378418</v>
      </c>
    </row>
    <row r="812" spans="1:4" x14ac:dyDescent="0.2">
      <c r="A812" s="2">
        <v>45587</v>
      </c>
      <c r="B812">
        <v>242.10906982421875</v>
      </c>
    </row>
    <row r="813" spans="1:4" x14ac:dyDescent="0.2">
      <c r="A813" s="2">
        <v>45587.958333333336</v>
      </c>
      <c r="C813">
        <v>59.270221710205078</v>
      </c>
      <c r="D813">
        <v>15.738288879394531</v>
      </c>
    </row>
    <row r="814" spans="1:4" x14ac:dyDescent="0.2">
      <c r="A814" s="2">
        <v>45588</v>
      </c>
      <c r="B814">
        <v>238.06059265136719</v>
      </c>
    </row>
    <row r="815" spans="1:4" x14ac:dyDescent="0.2">
      <c r="A815" s="2">
        <v>45588.958333333336</v>
      </c>
      <c r="C815">
        <v>59.361080169677734</v>
      </c>
      <c r="D815">
        <v>15.360787391662598</v>
      </c>
    </row>
    <row r="816" spans="1:4" x14ac:dyDescent="0.2">
      <c r="A816" s="2">
        <v>45589</v>
      </c>
      <c r="B816">
        <v>247.95689392089844</v>
      </c>
    </row>
    <row r="817" spans="1:4" x14ac:dyDescent="0.2">
      <c r="A817" s="2">
        <v>45589.958333333336</v>
      </c>
      <c r="C817">
        <v>59.361080169677734</v>
      </c>
      <c r="D817">
        <v>15.25181770324707</v>
      </c>
    </row>
    <row r="818" spans="1:4" x14ac:dyDescent="0.2">
      <c r="A818" s="2">
        <v>45590</v>
      </c>
      <c r="B818">
        <v>241.30938720703125</v>
      </c>
    </row>
    <row r="819" spans="1:4" x14ac:dyDescent="0.2">
      <c r="A819" s="2">
        <v>45592.958333333336</v>
      </c>
      <c r="C819">
        <v>59.988037109375</v>
      </c>
      <c r="D819">
        <v>15.421110153198242</v>
      </c>
    </row>
    <row r="820" spans="1:4" x14ac:dyDescent="0.2">
      <c r="A820" s="2">
        <v>45593</v>
      </c>
      <c r="B820">
        <v>241.709228515625</v>
      </c>
    </row>
    <row r="821" spans="1:4" x14ac:dyDescent="0.2">
      <c r="A821" s="2">
        <v>45593.958333333336</v>
      </c>
      <c r="C821">
        <v>59.915351867675781</v>
      </c>
      <c r="D821">
        <v>15.300464630126953</v>
      </c>
    </row>
    <row r="822" spans="1:4" x14ac:dyDescent="0.2">
      <c r="A822" s="2">
        <v>45594</v>
      </c>
      <c r="B822">
        <v>238.71035766601562</v>
      </c>
    </row>
    <row r="823" spans="1:4" x14ac:dyDescent="0.2">
      <c r="A823" s="2">
        <v>45594.958333333336</v>
      </c>
      <c r="C823">
        <v>59.515548706054688</v>
      </c>
      <c r="D823">
        <v>15.080580711364746</v>
      </c>
    </row>
    <row r="824" spans="1:4" x14ac:dyDescent="0.2">
      <c r="A824" s="2">
        <v>45595</v>
      </c>
      <c r="B824">
        <v>242.00910949707031</v>
      </c>
    </row>
    <row r="825" spans="1:4" x14ac:dyDescent="0.2">
      <c r="A825" s="2">
        <v>45595.958333333336</v>
      </c>
      <c r="C825">
        <v>57.016803741455078</v>
      </c>
      <c r="D825">
        <v>15.201225280761719</v>
      </c>
    </row>
    <row r="826" spans="1:4" x14ac:dyDescent="0.2">
      <c r="A826" s="2">
        <v>45596</v>
      </c>
      <c r="B826">
        <v>237.41084289550781</v>
      </c>
    </row>
    <row r="827" spans="1:4" x14ac:dyDescent="0.2">
      <c r="A827" s="2">
        <v>45596.958333333336</v>
      </c>
      <c r="C827">
        <v>57.280311584472656</v>
      </c>
      <c r="D827">
        <v>15.388030052185059</v>
      </c>
    </row>
    <row r="828" spans="1:4" x14ac:dyDescent="0.2">
      <c r="A828" s="2">
        <v>45597</v>
      </c>
      <c r="B828">
        <v>240.50968933105469</v>
      </c>
    </row>
    <row r="829" spans="1:4" x14ac:dyDescent="0.2">
      <c r="A829" s="2">
        <v>45599.958333333336</v>
      </c>
      <c r="C829">
        <v>57.125839233398438</v>
      </c>
      <c r="D829">
        <v>15.339382171630859</v>
      </c>
    </row>
    <row r="830" spans="1:4" x14ac:dyDescent="0.2">
      <c r="A830" s="2">
        <v>45600</v>
      </c>
      <c r="B830">
        <v>243.40858459472656</v>
      </c>
    </row>
    <row r="831" spans="1:4" x14ac:dyDescent="0.2">
      <c r="A831" s="2">
        <v>45600.958333333336</v>
      </c>
      <c r="C831">
        <v>57.007720947265625</v>
      </c>
      <c r="D831">
        <v>15.485323905944824</v>
      </c>
    </row>
    <row r="832" spans="1:4" x14ac:dyDescent="0.2">
      <c r="A832" s="2">
        <v>45601</v>
      </c>
      <c r="B832">
        <v>244.80805969238281</v>
      </c>
    </row>
    <row r="833" spans="1:4" x14ac:dyDescent="0.2">
      <c r="A833" s="2">
        <v>45601.958333333336</v>
      </c>
      <c r="C833">
        <v>55.490299224853516</v>
      </c>
      <c r="D833">
        <v>15.728559494018555</v>
      </c>
    </row>
    <row r="834" spans="1:4" x14ac:dyDescent="0.2">
      <c r="A834" s="2">
        <v>45602</v>
      </c>
      <c r="B834">
        <v>258.0531005859375</v>
      </c>
    </row>
    <row r="835" spans="1:4" x14ac:dyDescent="0.2">
      <c r="A835" s="2">
        <v>45602.958333333336</v>
      </c>
      <c r="C835">
        <v>53.654857635498047</v>
      </c>
      <c r="D835">
        <v>15.55342960357666</v>
      </c>
    </row>
    <row r="836" spans="1:4" x14ac:dyDescent="0.2">
      <c r="A836" s="2">
        <v>45603</v>
      </c>
      <c r="B836">
        <v>253.75471496582031</v>
      </c>
    </row>
    <row r="837" spans="1:4" x14ac:dyDescent="0.2">
      <c r="A837" s="2">
        <v>45603.958333333336</v>
      </c>
      <c r="C837">
        <v>54.29998779296875</v>
      </c>
      <c r="D837">
        <v>15.101985931396484</v>
      </c>
    </row>
    <row r="838" spans="1:4" x14ac:dyDescent="0.2">
      <c r="A838" s="2">
        <v>45604</v>
      </c>
      <c r="B838">
        <v>251.40557861328125</v>
      </c>
    </row>
    <row r="839" spans="1:4" x14ac:dyDescent="0.2">
      <c r="A839" s="2">
        <v>45606.958333333336</v>
      </c>
      <c r="C839">
        <v>55.372177124023438</v>
      </c>
      <c r="D839">
        <v>15.701316833496094</v>
      </c>
    </row>
    <row r="840" spans="1:4" x14ac:dyDescent="0.2">
      <c r="A840" s="2">
        <v>45607</v>
      </c>
      <c r="B840">
        <v>260.5521240234375</v>
      </c>
    </row>
    <row r="841" spans="1:4" x14ac:dyDescent="0.2">
      <c r="A841" s="2">
        <v>45607.958333333336</v>
      </c>
      <c r="C841">
        <v>53.954708099365234</v>
      </c>
      <c r="D841">
        <v>15.38608455657959</v>
      </c>
    </row>
    <row r="842" spans="1:4" x14ac:dyDescent="0.2">
      <c r="A842" s="2">
        <v>45608</v>
      </c>
      <c r="B842">
        <v>257.4033203125</v>
      </c>
    </row>
    <row r="843" spans="1:4" x14ac:dyDescent="0.2">
      <c r="A843" s="2">
        <v>45608.958333333336</v>
      </c>
      <c r="C843">
        <v>53.718460083007812</v>
      </c>
      <c r="D843">
        <v>15.158415794372559</v>
      </c>
    </row>
    <row r="844" spans="1:4" x14ac:dyDescent="0.2">
      <c r="A844" s="2">
        <v>45609</v>
      </c>
      <c r="B844">
        <v>258.75283813476562</v>
      </c>
    </row>
    <row r="845" spans="1:4" x14ac:dyDescent="0.2">
      <c r="A845" s="2">
        <v>45609.958333333336</v>
      </c>
      <c r="C845">
        <v>54.036483764648438</v>
      </c>
      <c r="D845">
        <v>15.477540016174316</v>
      </c>
    </row>
    <row r="846" spans="1:4" x14ac:dyDescent="0.2">
      <c r="A846" s="2">
        <v>45610</v>
      </c>
      <c r="B846">
        <v>256.503662109375</v>
      </c>
    </row>
    <row r="847" spans="1:4" x14ac:dyDescent="0.2">
      <c r="A847" s="2">
        <v>45610.958333333336</v>
      </c>
      <c r="C847">
        <v>54.618011474609375</v>
      </c>
      <c r="D847">
        <v>15.62542724609375</v>
      </c>
    </row>
    <row r="848" spans="1:4" x14ac:dyDescent="0.2">
      <c r="A848" s="2">
        <v>45611</v>
      </c>
      <c r="B848">
        <v>259.25262451171875</v>
      </c>
    </row>
    <row r="849" spans="1:4" x14ac:dyDescent="0.2">
      <c r="A849" s="2">
        <v>45613.958333333336</v>
      </c>
      <c r="C849">
        <v>54.899684906005859</v>
      </c>
      <c r="D849">
        <v>15.746071815490723</v>
      </c>
    </row>
    <row r="850" spans="1:4" x14ac:dyDescent="0.2">
      <c r="A850" s="2">
        <v>45614</v>
      </c>
      <c r="B850">
        <v>260.75204467773438</v>
      </c>
    </row>
    <row r="851" spans="1:4" x14ac:dyDescent="0.2">
      <c r="A851" s="2">
        <v>45614.958333333336</v>
      </c>
      <c r="C851">
        <v>53.891101837158203</v>
      </c>
      <c r="D851">
        <v>15.465865135192871</v>
      </c>
    </row>
    <row r="852" spans="1:4" x14ac:dyDescent="0.2">
      <c r="A852" s="2">
        <v>45615</v>
      </c>
      <c r="B852">
        <v>255.75396728515625</v>
      </c>
    </row>
    <row r="853" spans="1:4" x14ac:dyDescent="0.2">
      <c r="A853" s="2">
        <v>45615.958333333336</v>
      </c>
      <c r="C853">
        <v>53.146026611328125</v>
      </c>
      <c r="D853">
        <v>15.46781063079834</v>
      </c>
    </row>
    <row r="854" spans="1:4" x14ac:dyDescent="0.2">
      <c r="A854" s="2">
        <v>45616</v>
      </c>
      <c r="B854">
        <v>258.85281372070312</v>
      </c>
    </row>
    <row r="855" spans="1:4" x14ac:dyDescent="0.2">
      <c r="A855" s="2">
        <v>45616.958333333336</v>
      </c>
      <c r="C855">
        <v>52.900691986083984</v>
      </c>
      <c r="D855">
        <v>15.576780319213867</v>
      </c>
    </row>
    <row r="856" spans="1:4" x14ac:dyDescent="0.2">
      <c r="A856" s="2">
        <v>45617</v>
      </c>
      <c r="B856">
        <v>262.55142211914062</v>
      </c>
    </row>
    <row r="857" spans="1:4" x14ac:dyDescent="0.2">
      <c r="A857" s="2">
        <v>45617.958333333336</v>
      </c>
      <c r="C857">
        <v>51.719463348388672</v>
      </c>
      <c r="D857">
        <v>15.131173133850098</v>
      </c>
    </row>
    <row r="858" spans="1:4" x14ac:dyDescent="0.2">
      <c r="A858" s="2">
        <v>45618</v>
      </c>
      <c r="B858">
        <v>257.10345458984375</v>
      </c>
    </row>
    <row r="859" spans="1:4" x14ac:dyDescent="0.2">
      <c r="A859" s="2">
        <v>45620.958333333336</v>
      </c>
      <c r="C859">
        <v>51.77398681640625</v>
      </c>
      <c r="D859">
        <v>15.282952308654785</v>
      </c>
    </row>
    <row r="860" spans="1:4" x14ac:dyDescent="0.2">
      <c r="A860" s="2">
        <v>45621</v>
      </c>
      <c r="B860">
        <v>263.551025390625</v>
      </c>
    </row>
    <row r="861" spans="1:4" x14ac:dyDescent="0.2">
      <c r="A861" s="2">
        <v>45621.958333333336</v>
      </c>
      <c r="C861">
        <v>51.156112670898438</v>
      </c>
      <c r="D861">
        <v>15.131173133850098</v>
      </c>
    </row>
    <row r="862" spans="1:4" x14ac:dyDescent="0.2">
      <c r="A862" s="2">
        <v>45622</v>
      </c>
      <c r="B862">
        <v>260.85205078125</v>
      </c>
    </row>
    <row r="863" spans="1:4" x14ac:dyDescent="0.2">
      <c r="A863" s="2">
        <v>45622.958333333336</v>
      </c>
      <c r="C863">
        <v>50.547328948974609</v>
      </c>
      <c r="D863">
        <v>15.035825729370117</v>
      </c>
    </row>
    <row r="864" spans="1:4" x14ac:dyDescent="0.2">
      <c r="A864" s="2">
        <v>45623</v>
      </c>
      <c r="B864">
        <v>258.85281372070312</v>
      </c>
    </row>
    <row r="865" spans="1:4" x14ac:dyDescent="0.2">
      <c r="A865" s="2">
        <v>45623.958333333336</v>
      </c>
      <c r="C865">
        <v>51.010730743408203</v>
      </c>
      <c r="D865">
        <v>15.035825729370117</v>
      </c>
    </row>
    <row r="866" spans="1:4" x14ac:dyDescent="0.2">
      <c r="A866" s="2">
        <v>45624</v>
      </c>
      <c r="B866">
        <v>265.00048828125</v>
      </c>
    </row>
    <row r="867" spans="1:4" x14ac:dyDescent="0.2">
      <c r="A867" s="2">
        <v>45624.958333333336</v>
      </c>
      <c r="C867">
        <v>51.465049743652344</v>
      </c>
      <c r="D867">
        <v>15.639047622680664</v>
      </c>
    </row>
    <row r="868" spans="1:4" x14ac:dyDescent="0.2">
      <c r="A868" s="2">
        <v>45625</v>
      </c>
      <c r="B868">
        <v>263.700927734375</v>
      </c>
    </row>
    <row r="869" spans="1:4" x14ac:dyDescent="0.2">
      <c r="A869" s="2">
        <v>45627.958333333336</v>
      </c>
      <c r="C869">
        <v>50.829006195068359</v>
      </c>
      <c r="D869">
        <v>15.837528228759766</v>
      </c>
    </row>
    <row r="870" spans="1:4" x14ac:dyDescent="0.2">
      <c r="A870" s="2">
        <v>45628</v>
      </c>
      <c r="B870">
        <v>262.7513427734375</v>
      </c>
    </row>
    <row r="871" spans="1:4" x14ac:dyDescent="0.2">
      <c r="A871" s="2">
        <v>45628.958333333336</v>
      </c>
      <c r="C871">
        <v>50.683624267578125</v>
      </c>
      <c r="D871">
        <v>16.277297973632812</v>
      </c>
    </row>
    <row r="872" spans="1:4" x14ac:dyDescent="0.2">
      <c r="A872" s="2">
        <v>45629</v>
      </c>
      <c r="B872">
        <v>264.50064086914062</v>
      </c>
    </row>
    <row r="873" spans="1:4" x14ac:dyDescent="0.2">
      <c r="A873" s="2">
        <v>45629.958333333336</v>
      </c>
      <c r="C873">
        <v>51.337841033935547</v>
      </c>
      <c r="D873">
        <v>16.234489440917969</v>
      </c>
    </row>
    <row r="874" spans="1:4" x14ac:dyDescent="0.2">
      <c r="A874" s="2">
        <v>45630</v>
      </c>
      <c r="B874">
        <v>262.00161743164062</v>
      </c>
    </row>
    <row r="875" spans="1:4" x14ac:dyDescent="0.2">
      <c r="A875" s="2">
        <v>45630.958333333336</v>
      </c>
      <c r="C875">
        <v>52.673534393310547</v>
      </c>
      <c r="D875">
        <v>16.50691032409668</v>
      </c>
    </row>
    <row r="876" spans="1:4" x14ac:dyDescent="0.2">
      <c r="A876" s="2">
        <v>45631</v>
      </c>
      <c r="B876">
        <v>267.44952392578125</v>
      </c>
    </row>
    <row r="877" spans="1:4" x14ac:dyDescent="0.2">
      <c r="A877" s="2">
        <v>45631.958333333336</v>
      </c>
      <c r="C877">
        <v>53.218711853027344</v>
      </c>
      <c r="D877">
        <v>16.397941589355469</v>
      </c>
    </row>
    <row r="878" spans="1:4" x14ac:dyDescent="0.2">
      <c r="A878" s="2">
        <v>45632</v>
      </c>
      <c r="B878">
        <v>264.70059204101562</v>
      </c>
    </row>
    <row r="879" spans="1:4" x14ac:dyDescent="0.2">
      <c r="A879" s="2">
        <v>45634.958333333336</v>
      </c>
      <c r="C879">
        <v>54.572582244873047</v>
      </c>
      <c r="D879">
        <v>16.392105102539062</v>
      </c>
    </row>
    <row r="880" spans="1:4" x14ac:dyDescent="0.2">
      <c r="A880" s="2">
        <v>45635</v>
      </c>
      <c r="B880">
        <v>267.44952392578125</v>
      </c>
    </row>
    <row r="881" spans="1:4" x14ac:dyDescent="0.2">
      <c r="A881" s="2">
        <v>45635.958333333336</v>
      </c>
      <c r="C881">
        <v>54.245471954345703</v>
      </c>
      <c r="D881">
        <v>16.392105102539062</v>
      </c>
    </row>
    <row r="882" spans="1:4" x14ac:dyDescent="0.2">
      <c r="A882" s="2">
        <v>45636</v>
      </c>
      <c r="B882">
        <v>264.100830078125</v>
      </c>
    </row>
    <row r="883" spans="1:4" x14ac:dyDescent="0.2">
      <c r="A883" s="2">
        <v>45636.958333333336</v>
      </c>
      <c r="C883">
        <v>54.145519256591797</v>
      </c>
      <c r="D883">
        <v>16.545829772949219</v>
      </c>
    </row>
    <row r="884" spans="1:4" x14ac:dyDescent="0.2">
      <c r="A884" s="2">
        <v>45637</v>
      </c>
      <c r="B884">
        <v>266.54989624023438</v>
      </c>
    </row>
    <row r="885" spans="1:4" x14ac:dyDescent="0.2">
      <c r="A885" s="2">
        <v>45637.958333333336</v>
      </c>
      <c r="C885">
        <v>53.536735534667969</v>
      </c>
      <c r="D885">
        <v>16.493289947509766</v>
      </c>
    </row>
    <row r="886" spans="1:4" x14ac:dyDescent="0.2">
      <c r="A886" s="2">
        <v>45638</v>
      </c>
      <c r="B886">
        <v>270.598388671875</v>
      </c>
    </row>
    <row r="887" spans="1:4" x14ac:dyDescent="0.2">
      <c r="A887" s="2">
        <v>45638.958333333336</v>
      </c>
      <c r="C887">
        <v>53.554904937744141</v>
      </c>
      <c r="D887">
        <v>16.602258682250977</v>
      </c>
    </row>
    <row r="888" spans="1:4" x14ac:dyDescent="0.2">
      <c r="A888" s="2">
        <v>45639</v>
      </c>
      <c r="B888">
        <v>269.298828125</v>
      </c>
    </row>
    <row r="889" spans="1:4" x14ac:dyDescent="0.2">
      <c r="A889" s="2">
        <v>45641.958333333336</v>
      </c>
      <c r="C889">
        <v>53.445869445800781</v>
      </c>
      <c r="D889">
        <v>16.683986663818359</v>
      </c>
    </row>
    <row r="890" spans="1:4" x14ac:dyDescent="0.2">
      <c r="A890" s="2">
        <v>45642</v>
      </c>
      <c r="B890">
        <v>270.19851684570312</v>
      </c>
    </row>
    <row r="891" spans="1:4" x14ac:dyDescent="0.2">
      <c r="A891" s="2">
        <v>45642.958333333336</v>
      </c>
      <c r="C891">
        <v>52.927951812744141</v>
      </c>
      <c r="D891">
        <v>16.335674285888672</v>
      </c>
    </row>
    <row r="892" spans="1:4" x14ac:dyDescent="0.2">
      <c r="A892" s="2">
        <v>45643</v>
      </c>
      <c r="B892">
        <v>264.45065307617188</v>
      </c>
    </row>
    <row r="893" spans="1:4" x14ac:dyDescent="0.2">
      <c r="A893" s="2">
        <v>45643.958333333336</v>
      </c>
      <c r="C893">
        <v>53.273231506347656</v>
      </c>
      <c r="D893">
        <v>16.454374313354492</v>
      </c>
    </row>
    <row r="894" spans="1:4" x14ac:dyDescent="0.2">
      <c r="A894" s="2">
        <v>45644</v>
      </c>
      <c r="B894">
        <v>266.94973754882812</v>
      </c>
    </row>
    <row r="895" spans="1:4" x14ac:dyDescent="0.2">
      <c r="A895" s="2">
        <v>45644.958333333336</v>
      </c>
      <c r="C895">
        <v>52.528156280517578</v>
      </c>
      <c r="D895">
        <v>16.139139175415039</v>
      </c>
    </row>
    <row r="896" spans="1:4" x14ac:dyDescent="0.2">
      <c r="A896" s="2">
        <v>45645</v>
      </c>
      <c r="B896">
        <v>260.15231323242188</v>
      </c>
    </row>
    <row r="897" spans="1:4" x14ac:dyDescent="0.2">
      <c r="A897" s="2">
        <v>45645.958333333336</v>
      </c>
      <c r="C897">
        <v>52.228302001953125</v>
      </c>
      <c r="D897">
        <v>15.810286521911621</v>
      </c>
    </row>
    <row r="898" spans="1:4" x14ac:dyDescent="0.2">
      <c r="A898" s="2">
        <v>45646</v>
      </c>
      <c r="B898">
        <v>260.15231323242188</v>
      </c>
    </row>
    <row r="899" spans="1:4" x14ac:dyDescent="0.2">
      <c r="A899" s="2">
        <v>45648.958333333336</v>
      </c>
      <c r="C899">
        <v>52.19195556640625</v>
      </c>
      <c r="D899">
        <v>15.866717338562012</v>
      </c>
    </row>
    <row r="900" spans="1:4" x14ac:dyDescent="0.2">
      <c r="A900" s="2">
        <v>45649</v>
      </c>
      <c r="B900">
        <v>261.50180053710938</v>
      </c>
    </row>
    <row r="901" spans="1:4" x14ac:dyDescent="0.2">
      <c r="A901" s="2">
        <v>45649.958333333336</v>
      </c>
      <c r="C901">
        <v>52.282821655273438</v>
      </c>
    </row>
    <row r="902" spans="1:4" x14ac:dyDescent="0.2">
      <c r="A902" s="2">
        <v>45650</v>
      </c>
      <c r="B902">
        <v>263.4510498046875</v>
      </c>
    </row>
    <row r="903" spans="1:4" x14ac:dyDescent="0.2">
      <c r="A903" s="2">
        <v>45652.958333333336</v>
      </c>
      <c r="C903">
        <v>53.191455841064453</v>
      </c>
      <c r="D903">
        <v>16.08465576171875</v>
      </c>
    </row>
    <row r="904" spans="1:4" x14ac:dyDescent="0.2">
      <c r="A904" s="2">
        <v>45653</v>
      </c>
      <c r="B904">
        <v>264.80056762695312</v>
      </c>
    </row>
    <row r="905" spans="1:4" x14ac:dyDescent="0.2">
      <c r="A905" s="2">
        <v>45655.958333333336</v>
      </c>
      <c r="C905">
        <v>53.364093780517578</v>
      </c>
      <c r="D905">
        <v>16.189731597900391</v>
      </c>
    </row>
    <row r="906" spans="1:4" x14ac:dyDescent="0.2">
      <c r="A906" s="2">
        <v>45656</v>
      </c>
      <c r="B906">
        <v>264.650634765625</v>
      </c>
    </row>
    <row r="907" spans="1:4" x14ac:dyDescent="0.2">
      <c r="A907" s="2">
        <v>45656.958333333336</v>
      </c>
      <c r="C907">
        <v>53.809326171875</v>
      </c>
    </row>
    <row r="908" spans="1:4" x14ac:dyDescent="0.2">
      <c r="A908" s="2">
        <v>45657</v>
      </c>
      <c r="B908">
        <v>268.04934692382812</v>
      </c>
    </row>
    <row r="909" spans="1:4" x14ac:dyDescent="0.2">
      <c r="A909" s="2">
        <v>45658.958333333336</v>
      </c>
      <c r="C909">
        <v>53.836585998535156</v>
      </c>
      <c r="D909">
        <v>16.353187561035156</v>
      </c>
    </row>
    <row r="910" spans="1:4" x14ac:dyDescent="0.2">
      <c r="A910" s="2">
        <v>45659</v>
      </c>
      <c r="B910">
        <v>266.7998046875</v>
      </c>
    </row>
    <row r="911" spans="1:4" x14ac:dyDescent="0.2">
      <c r="A911" s="2">
        <v>45659.958333333336</v>
      </c>
      <c r="C911">
        <v>53.146026611328125</v>
      </c>
      <c r="D911">
        <v>16.508857727050781</v>
      </c>
    </row>
    <row r="912" spans="1:4" x14ac:dyDescent="0.2">
      <c r="A912" s="2">
        <v>45660</v>
      </c>
      <c r="B912">
        <v>266.3499755859375</v>
      </c>
    </row>
    <row r="913" spans="1:4" x14ac:dyDescent="0.2">
      <c r="A913" s="2">
        <v>45662.958333333336</v>
      </c>
      <c r="C913">
        <v>54.545318603515625</v>
      </c>
      <c r="D913">
        <v>16.563343048095703</v>
      </c>
    </row>
    <row r="914" spans="1:4" x14ac:dyDescent="0.2">
      <c r="A914" s="2">
        <v>45663</v>
      </c>
      <c r="B914">
        <v>272.69757080078125</v>
      </c>
    </row>
    <row r="915" spans="1:4" x14ac:dyDescent="0.2">
      <c r="A915" s="2">
        <v>45663.958333333336</v>
      </c>
      <c r="C915">
        <v>54.881515502929688</v>
      </c>
      <c r="D915">
        <v>16.411563873291016</v>
      </c>
    </row>
    <row r="916" spans="1:4" x14ac:dyDescent="0.2">
      <c r="A916" s="2">
        <v>45664</v>
      </c>
      <c r="B916">
        <v>265.60025024414062</v>
      </c>
    </row>
    <row r="917" spans="1:4" x14ac:dyDescent="0.2">
      <c r="A917" s="2">
        <v>45664.958333333336</v>
      </c>
      <c r="C917">
        <v>54.645267486572266</v>
      </c>
      <c r="D917">
        <v>16.36680793762207</v>
      </c>
    </row>
    <row r="918" spans="1:4" x14ac:dyDescent="0.2">
      <c r="A918" s="2">
        <v>45665</v>
      </c>
      <c r="B918">
        <v>264.9005126953125</v>
      </c>
    </row>
    <row r="919" spans="1:4" x14ac:dyDescent="0.2">
      <c r="A919" s="2">
        <v>45665.958333333336</v>
      </c>
      <c r="C919">
        <v>54.472629547119141</v>
      </c>
      <c r="D919">
        <v>16.672311782836914</v>
      </c>
    </row>
    <row r="920" spans="1:4" x14ac:dyDescent="0.2">
      <c r="A920" s="2">
        <v>45666</v>
      </c>
      <c r="B920">
        <v>265.75021362304688</v>
      </c>
    </row>
    <row r="921" spans="1:4" x14ac:dyDescent="0.2">
      <c r="A921" s="2">
        <v>45666.958333333336</v>
      </c>
      <c r="C921">
        <v>53.927448272705078</v>
      </c>
      <c r="D921">
        <v>16.633394241333008</v>
      </c>
    </row>
    <row r="922" spans="1:4" x14ac:dyDescent="0.2">
      <c r="A922" s="2">
        <v>45667</v>
      </c>
      <c r="B922">
        <v>257.953125</v>
      </c>
    </row>
    <row r="923" spans="1:4" x14ac:dyDescent="0.2">
      <c r="A923" s="2">
        <v>45669.958333333336</v>
      </c>
      <c r="C923">
        <v>54.190952301025391</v>
      </c>
      <c r="D923">
        <v>16.567234039306641</v>
      </c>
    </row>
    <row r="924" spans="1:4" x14ac:dyDescent="0.2">
      <c r="A924" s="2">
        <v>45670</v>
      </c>
      <c r="B924">
        <v>260.60214233398438</v>
      </c>
    </row>
    <row r="925" spans="1:4" x14ac:dyDescent="0.2">
      <c r="A925" s="2">
        <v>45670.958333333336</v>
      </c>
      <c r="C925">
        <v>55.254055023193359</v>
      </c>
      <c r="D925">
        <v>17.121809005737305</v>
      </c>
    </row>
    <row r="926" spans="1:4" x14ac:dyDescent="0.2">
      <c r="A926" s="2">
        <v>45671</v>
      </c>
      <c r="B926">
        <v>263.700927734375</v>
      </c>
    </row>
    <row r="927" spans="1:4" x14ac:dyDescent="0.2">
      <c r="A927" s="2">
        <v>45671.958333333336</v>
      </c>
      <c r="C927">
        <v>56.40802001953125</v>
      </c>
      <c r="D927">
        <v>17.684169769287109</v>
      </c>
    </row>
    <row r="928" spans="1:4" x14ac:dyDescent="0.2">
      <c r="A928" s="2">
        <v>45672</v>
      </c>
      <c r="B928">
        <v>280.84454345703125</v>
      </c>
    </row>
    <row r="929" spans="1:4" x14ac:dyDescent="0.2">
      <c r="A929" s="2">
        <v>45672.958333333336</v>
      </c>
      <c r="C929">
        <v>56.526142120361328</v>
      </c>
      <c r="D929">
        <v>17.707521438598633</v>
      </c>
    </row>
    <row r="930" spans="1:4" x14ac:dyDescent="0.2">
      <c r="A930" s="2">
        <v>45673</v>
      </c>
      <c r="B930">
        <v>282.59390258789062</v>
      </c>
    </row>
    <row r="931" spans="1:4" x14ac:dyDescent="0.2">
      <c r="A931" s="2">
        <v>45673.958333333336</v>
      </c>
      <c r="C931">
        <v>56.553401947021484</v>
      </c>
      <c r="D931">
        <v>18.014970779418945</v>
      </c>
    </row>
    <row r="932" spans="1:4" x14ac:dyDescent="0.2">
      <c r="A932" s="2">
        <v>45674</v>
      </c>
      <c r="B932">
        <v>289.24139404296875</v>
      </c>
    </row>
    <row r="933" spans="1:4" x14ac:dyDescent="0.2">
      <c r="A933" s="2">
        <v>45676.958333333336</v>
      </c>
      <c r="C933">
        <v>57.198535919189453</v>
      </c>
      <c r="D933">
        <v>18.297122955322266</v>
      </c>
    </row>
    <row r="934" spans="1:4" x14ac:dyDescent="0.2">
      <c r="A934" s="2">
        <v>45677</v>
      </c>
      <c r="B934">
        <v>291.74041748046875</v>
      </c>
    </row>
    <row r="935" spans="1:4" x14ac:dyDescent="0.2">
      <c r="A935" s="2">
        <v>45677.958333333336</v>
      </c>
      <c r="C935">
        <v>57.343914031982422</v>
      </c>
      <c r="D935">
        <v>18.297122955322266</v>
      </c>
    </row>
    <row r="936" spans="1:4" x14ac:dyDescent="0.2">
      <c r="A936" s="2">
        <v>45678</v>
      </c>
      <c r="B936">
        <v>295.83892822265625</v>
      </c>
    </row>
    <row r="937" spans="1:4" x14ac:dyDescent="0.2">
      <c r="A937" s="2">
        <v>45678.958333333336</v>
      </c>
      <c r="C937">
        <v>56.617008209228516</v>
      </c>
      <c r="D937">
        <v>18.262096405029297</v>
      </c>
    </row>
    <row r="938" spans="1:4" x14ac:dyDescent="0.2">
      <c r="A938" s="2">
        <v>45679</v>
      </c>
      <c r="B938">
        <v>293.63970947265625</v>
      </c>
    </row>
    <row r="939" spans="1:4" x14ac:dyDescent="0.2">
      <c r="A939" s="2">
        <v>45679.958333333336</v>
      </c>
      <c r="C939">
        <v>57.589244842529297</v>
      </c>
      <c r="D939">
        <v>18.534519195556641</v>
      </c>
    </row>
    <row r="940" spans="1:4" x14ac:dyDescent="0.2">
      <c r="A940" s="2">
        <v>45680</v>
      </c>
      <c r="B940">
        <v>298.53790283203125</v>
      </c>
    </row>
    <row r="941" spans="1:4" x14ac:dyDescent="0.2">
      <c r="A941" s="2">
        <v>45680.958333333336</v>
      </c>
      <c r="C941">
        <v>57.798229217529297</v>
      </c>
      <c r="D941">
        <v>18.534519195556641</v>
      </c>
    </row>
    <row r="942" spans="1:4" x14ac:dyDescent="0.2">
      <c r="A942" s="2">
        <v>45681</v>
      </c>
      <c r="B942">
        <v>292.93997192382812</v>
      </c>
    </row>
    <row r="943" spans="1:4" x14ac:dyDescent="0.2">
      <c r="A943" s="2">
        <v>45683.958333333336</v>
      </c>
      <c r="C943">
        <v>58.361587524414062</v>
      </c>
      <c r="D943">
        <v>18.443063735961914</v>
      </c>
    </row>
    <row r="944" spans="1:4" x14ac:dyDescent="0.2">
      <c r="A944" s="2">
        <v>45684</v>
      </c>
      <c r="B944">
        <v>288.29171752929688</v>
      </c>
    </row>
    <row r="945" spans="1:4" x14ac:dyDescent="0.2">
      <c r="A945" s="2">
        <v>45684.958333333336</v>
      </c>
      <c r="C945">
        <v>58.679607391357422</v>
      </c>
      <c r="D945">
        <v>18.729108810424805</v>
      </c>
    </row>
    <row r="946" spans="1:4" x14ac:dyDescent="0.2">
      <c r="A946" s="2">
        <v>45685</v>
      </c>
      <c r="B946">
        <v>289.24139404296875</v>
      </c>
    </row>
    <row r="947" spans="1:4" x14ac:dyDescent="0.2">
      <c r="A947" s="2">
        <v>45685.958333333336</v>
      </c>
      <c r="C947">
        <v>58.761383056640625</v>
      </c>
      <c r="D947">
        <v>18.995693206787109</v>
      </c>
    </row>
    <row r="948" spans="1:4" x14ac:dyDescent="0.2">
      <c r="A948" s="2">
        <v>45686</v>
      </c>
      <c r="B948">
        <v>296.18878173828125</v>
      </c>
    </row>
    <row r="949" spans="1:4" x14ac:dyDescent="0.2">
      <c r="A949" s="2">
        <v>45686.958333333336</v>
      </c>
      <c r="C949">
        <v>59.660934448242188</v>
      </c>
      <c r="D949">
        <v>18.384687423706055</v>
      </c>
    </row>
    <row r="950" spans="1:4" x14ac:dyDescent="0.2">
      <c r="A950" s="2">
        <v>45687</v>
      </c>
      <c r="B950">
        <v>295.68893432617188</v>
      </c>
    </row>
    <row r="951" spans="1:4" x14ac:dyDescent="0.2">
      <c r="A951" s="2">
        <v>45687.958333333336</v>
      </c>
      <c r="C951">
        <v>59.715450286865234</v>
      </c>
      <c r="D951">
        <v>18.427497863769531</v>
      </c>
    </row>
    <row r="952" spans="1:4" x14ac:dyDescent="0.2">
      <c r="A952" s="2">
        <v>45688</v>
      </c>
      <c r="B952">
        <v>296.88848876953125</v>
      </c>
    </row>
    <row r="953" spans="1:4" x14ac:dyDescent="0.2">
      <c r="A953" s="2">
        <v>45690.958333333336</v>
      </c>
      <c r="C953">
        <v>58.443363189697266</v>
      </c>
      <c r="D953">
        <v>17.847623825073242</v>
      </c>
    </row>
    <row r="954" spans="1:4" x14ac:dyDescent="0.2">
      <c r="A954" s="2">
        <v>45691</v>
      </c>
      <c r="B954">
        <v>290.44088745117188</v>
      </c>
    </row>
    <row r="955" spans="1:4" x14ac:dyDescent="0.2">
      <c r="A955" s="2">
        <v>45691.958333333336</v>
      </c>
      <c r="C955">
        <v>60.923934936523438</v>
      </c>
      <c r="D955">
        <v>17.726978302001953</v>
      </c>
    </row>
    <row r="956" spans="1:4" x14ac:dyDescent="0.2">
      <c r="A956" s="2">
        <v>45692</v>
      </c>
      <c r="B956">
        <v>294.13949584960938</v>
      </c>
    </row>
    <row r="957" spans="1:4" x14ac:dyDescent="0.2">
      <c r="A957" s="2">
        <v>45692.958333333336</v>
      </c>
      <c r="C957">
        <v>60.333320617675781</v>
      </c>
      <c r="D957">
        <v>17.584928512573242</v>
      </c>
    </row>
    <row r="958" spans="1:4" x14ac:dyDescent="0.2">
      <c r="A958" s="2">
        <v>45693</v>
      </c>
      <c r="B958">
        <v>295.18911743164062</v>
      </c>
    </row>
    <row r="959" spans="1:4" x14ac:dyDescent="0.2">
      <c r="A959" s="2">
        <v>45693.958333333336</v>
      </c>
      <c r="C959">
        <v>62.023387908935547</v>
      </c>
      <c r="D959">
        <v>18.176477432250977</v>
      </c>
    </row>
    <row r="960" spans="1:4" x14ac:dyDescent="0.2">
      <c r="A960" s="2">
        <v>45694</v>
      </c>
      <c r="B960">
        <v>307.38455200195312</v>
      </c>
    </row>
    <row r="961" spans="1:4" x14ac:dyDescent="0.2">
      <c r="A961" s="2">
        <v>45694.958333333336</v>
      </c>
      <c r="C961">
        <v>63.104656219482422</v>
      </c>
      <c r="D961">
        <v>18.088912963867188</v>
      </c>
    </row>
    <row r="962" spans="1:4" x14ac:dyDescent="0.2">
      <c r="A962" s="2">
        <v>45695</v>
      </c>
      <c r="B962">
        <v>304.58563232421875</v>
      </c>
    </row>
    <row r="963" spans="1:4" x14ac:dyDescent="0.2">
      <c r="A963" s="2">
        <v>45697.958333333336</v>
      </c>
      <c r="C963">
        <v>63.141002655029297</v>
      </c>
      <c r="D963">
        <v>18.088912963867188</v>
      </c>
    </row>
    <row r="964" spans="1:4" x14ac:dyDescent="0.2">
      <c r="A964" s="2">
        <v>45698</v>
      </c>
      <c r="B964">
        <v>302.6363525390625</v>
      </c>
    </row>
    <row r="965" spans="1:4" x14ac:dyDescent="0.2">
      <c r="A965" s="2">
        <v>45698.958333333336</v>
      </c>
      <c r="C965">
        <v>63.722522735595703</v>
      </c>
      <c r="D965">
        <v>18.283500671386719</v>
      </c>
    </row>
    <row r="966" spans="1:4" x14ac:dyDescent="0.2">
      <c r="A966" s="2">
        <v>45699</v>
      </c>
      <c r="B966">
        <v>306.3349609375</v>
      </c>
    </row>
    <row r="967" spans="1:4" x14ac:dyDescent="0.2">
      <c r="A967" s="2">
        <v>45699.958333333336</v>
      </c>
      <c r="C967">
        <v>64.458518981933594</v>
      </c>
      <c r="D967">
        <v>18.701866149902344</v>
      </c>
    </row>
    <row r="968" spans="1:4" x14ac:dyDescent="0.2">
      <c r="A968" s="2">
        <v>45700</v>
      </c>
      <c r="B968">
        <v>307.63446044921875</v>
      </c>
    </row>
    <row r="969" spans="1:4" x14ac:dyDescent="0.2">
      <c r="A969" s="2">
        <v>45700.958333333336</v>
      </c>
      <c r="C969">
        <v>63.695262908935547</v>
      </c>
      <c r="D969">
        <v>18.643489837646484</v>
      </c>
    </row>
    <row r="970" spans="1:4" x14ac:dyDescent="0.2">
      <c r="A970" s="2">
        <v>45701</v>
      </c>
      <c r="B970">
        <v>293.139892578125</v>
      </c>
    </row>
    <row r="971" spans="1:4" x14ac:dyDescent="0.2">
      <c r="A971" s="2">
        <v>45701.958333333336</v>
      </c>
      <c r="C971">
        <v>63.558971405029297</v>
      </c>
      <c r="D971">
        <v>18.725215911865234</v>
      </c>
    </row>
    <row r="972" spans="1:4" x14ac:dyDescent="0.2">
      <c r="A972" s="2">
        <v>45702</v>
      </c>
      <c r="B972">
        <v>294.48941040039062</v>
      </c>
    </row>
    <row r="973" spans="1:4" x14ac:dyDescent="0.2">
      <c r="A973" s="2">
        <v>45704.958333333336</v>
      </c>
      <c r="C973">
        <v>63.449939727783203</v>
      </c>
      <c r="D973">
        <v>19.159147262573242</v>
      </c>
    </row>
    <row r="974" spans="1:4" x14ac:dyDescent="0.2">
      <c r="A974" s="2">
        <v>45705</v>
      </c>
      <c r="B974">
        <v>304.28570556640625</v>
      </c>
    </row>
    <row r="975" spans="1:4" x14ac:dyDescent="0.2">
      <c r="A975" s="2">
        <v>45705.958333333336</v>
      </c>
      <c r="C975">
        <v>64.594810485839844</v>
      </c>
      <c r="D975">
        <v>19.429624557495117</v>
      </c>
    </row>
    <row r="976" spans="1:4" x14ac:dyDescent="0.2">
      <c r="A976" s="2">
        <v>45706</v>
      </c>
      <c r="B976">
        <v>308.08432006835938</v>
      </c>
    </row>
    <row r="977" spans="1:4" x14ac:dyDescent="0.2">
      <c r="A977" s="2">
        <v>45706.958333333336</v>
      </c>
      <c r="C977">
        <v>63.876998901367188</v>
      </c>
      <c r="D977">
        <v>18.958723068237305</v>
      </c>
    </row>
    <row r="978" spans="1:4" x14ac:dyDescent="0.2">
      <c r="A978" s="2">
        <v>45707</v>
      </c>
      <c r="B978">
        <v>305.83514404296875</v>
      </c>
    </row>
    <row r="979" spans="1:4" x14ac:dyDescent="0.2">
      <c r="A979" s="2">
        <v>45707.958333333336</v>
      </c>
      <c r="C979">
        <v>64.394912719726562</v>
      </c>
      <c r="D979">
        <v>18.845861434936523</v>
      </c>
    </row>
    <row r="980" spans="1:4" x14ac:dyDescent="0.2">
      <c r="A980" s="2">
        <v>45708</v>
      </c>
      <c r="B980">
        <v>298.2879638671875</v>
      </c>
    </row>
    <row r="981" spans="1:4" x14ac:dyDescent="0.2">
      <c r="A981" s="2">
        <v>45708.958333333336</v>
      </c>
      <c r="C981">
        <v>64.622077941894531</v>
      </c>
      <c r="D981">
        <v>19.110500335693359</v>
      </c>
    </row>
    <row r="982" spans="1:4" x14ac:dyDescent="0.2">
      <c r="A982" s="2">
        <v>45709</v>
      </c>
      <c r="B982">
        <v>303.68594360351562</v>
      </c>
    </row>
    <row r="983" spans="1:4" x14ac:dyDescent="0.2">
      <c r="A983" s="2">
        <v>45711.958333333336</v>
      </c>
      <c r="C983">
        <v>64.585731506347656</v>
      </c>
      <c r="D983">
        <v>19.186389923095703</v>
      </c>
    </row>
    <row r="984" spans="1:4" x14ac:dyDescent="0.2">
      <c r="A984" s="2">
        <v>45712</v>
      </c>
      <c r="B984">
        <v>298.6378173828125</v>
      </c>
    </row>
    <row r="985" spans="1:4" x14ac:dyDescent="0.2">
      <c r="A985" s="2">
        <v>45712.958333333336</v>
      </c>
      <c r="C985">
        <v>65.521621704101562</v>
      </c>
      <c r="D985">
        <v>19.560972213745117</v>
      </c>
    </row>
    <row r="986" spans="1:4" x14ac:dyDescent="0.2">
      <c r="A986" s="2">
        <v>45713</v>
      </c>
      <c r="B986">
        <v>296.73855590820312</v>
      </c>
    </row>
    <row r="987" spans="1:4" x14ac:dyDescent="0.2">
      <c r="A987" s="2">
        <v>45713.958333333336</v>
      </c>
      <c r="C987">
        <v>66.075889587402344</v>
      </c>
      <c r="D987">
        <v>20.33445930480957</v>
      </c>
    </row>
    <row r="988" spans="1:4" x14ac:dyDescent="0.2">
      <c r="A988" s="2">
        <v>45714</v>
      </c>
      <c r="B988">
        <v>308.83404541015625</v>
      </c>
    </row>
    <row r="989" spans="1:4" x14ac:dyDescent="0.2">
      <c r="A989" s="2">
        <v>45714.958333333336</v>
      </c>
      <c r="C989">
        <v>65.975936889648438</v>
      </c>
      <c r="D989">
        <v>19.945283889770508</v>
      </c>
    </row>
    <row r="990" spans="1:4" x14ac:dyDescent="0.2">
      <c r="A990" s="2">
        <v>45715</v>
      </c>
      <c r="B990">
        <v>300.99057006835938</v>
      </c>
    </row>
    <row r="991" spans="1:4" x14ac:dyDescent="0.2">
      <c r="A991" s="2">
        <v>45715.958333333336</v>
      </c>
      <c r="C991">
        <v>66.203102111816406</v>
      </c>
      <c r="D991">
        <v>20.164196014404297</v>
      </c>
    </row>
    <row r="992" spans="1:4" x14ac:dyDescent="0.2">
      <c r="A992" s="2">
        <v>45716</v>
      </c>
      <c r="B992">
        <v>311.23855590820312</v>
      </c>
    </row>
    <row r="993" spans="1:4" x14ac:dyDescent="0.2">
      <c r="A993" s="2">
        <v>45718.958333333336</v>
      </c>
      <c r="C993">
        <v>67.257110595703125</v>
      </c>
      <c r="D993">
        <v>20.383108139038086</v>
      </c>
    </row>
    <row r="994" spans="1:4" x14ac:dyDescent="0.2">
      <c r="A994" s="2">
        <v>45719</v>
      </c>
      <c r="B994">
        <v>311.03860473632812</v>
      </c>
    </row>
    <row r="995" spans="1:4" x14ac:dyDescent="0.2">
      <c r="A995" s="2">
        <v>45719.958333333336</v>
      </c>
      <c r="C995">
        <v>65.139999389648438</v>
      </c>
      <c r="D995">
        <v>18.834184646606445</v>
      </c>
    </row>
    <row r="996" spans="1:4" x14ac:dyDescent="0.2">
      <c r="A996" s="2">
        <v>45720</v>
      </c>
      <c r="B996">
        <v>292.34225463867188</v>
      </c>
    </row>
    <row r="997" spans="1:4" x14ac:dyDescent="0.2">
      <c r="A997" s="2">
        <v>45720.958333333336</v>
      </c>
      <c r="C997">
        <v>67.838645935058594</v>
      </c>
      <c r="D997">
        <v>21.161458969116211</v>
      </c>
    </row>
    <row r="998" spans="1:4" x14ac:dyDescent="0.2">
      <c r="A998" s="2">
        <v>45721</v>
      </c>
      <c r="B998">
        <v>303.39010620117188</v>
      </c>
    </row>
    <row r="999" spans="1:4" x14ac:dyDescent="0.2">
      <c r="A999" s="2">
        <v>45721.958333333336</v>
      </c>
      <c r="C999">
        <v>70.119316101074219</v>
      </c>
      <c r="D999">
        <v>21.857112884521484</v>
      </c>
    </row>
    <row r="1000" spans="1:4" x14ac:dyDescent="0.2">
      <c r="A1000" s="2">
        <v>45722</v>
      </c>
      <c r="B1000">
        <v>308.339111328125</v>
      </c>
    </row>
    <row r="1001" spans="1:4" x14ac:dyDescent="0.2">
      <c r="A1001" s="2">
        <v>45722.958333333336</v>
      </c>
      <c r="C1001">
        <v>69.574134826660156</v>
      </c>
      <c r="D1001">
        <v>21.497123718261719</v>
      </c>
    </row>
    <row r="1002" spans="1:4" x14ac:dyDescent="0.2">
      <c r="A1002" s="2">
        <v>45723</v>
      </c>
      <c r="B1002">
        <v>298.69100952148438</v>
      </c>
    </row>
    <row r="1003" spans="1:4" x14ac:dyDescent="0.2">
      <c r="A1003" s="2">
        <v>45725.958333333336</v>
      </c>
      <c r="C1003">
        <v>67.638740539550781</v>
      </c>
      <c r="D1003">
        <v>20.699312210083008</v>
      </c>
    </row>
    <row r="1004" spans="1:4" x14ac:dyDescent="0.2">
      <c r="A1004" s="2">
        <v>45726</v>
      </c>
      <c r="B1004">
        <v>284.49383544921875</v>
      </c>
    </row>
    <row r="1005" spans="1:4" x14ac:dyDescent="0.2">
      <c r="A1005" s="2">
        <v>45726.958333333336</v>
      </c>
      <c r="C1005">
        <v>66.293960571289062</v>
      </c>
      <c r="D1005">
        <v>20.441484451293945</v>
      </c>
    </row>
    <row r="1006" spans="1:4" x14ac:dyDescent="0.2">
      <c r="A1006" s="2">
        <v>45727</v>
      </c>
      <c r="B1006">
        <v>283.4940185546875</v>
      </c>
    </row>
    <row r="1007" spans="1:4" x14ac:dyDescent="0.2">
      <c r="A1007" s="2">
        <v>45727.958333333336</v>
      </c>
      <c r="C1007">
        <v>66.957267761230469</v>
      </c>
      <c r="D1007">
        <v>20.93768310546875</v>
      </c>
    </row>
    <row r="1008" spans="1:4" x14ac:dyDescent="0.2">
      <c r="A1008" s="2">
        <v>45728</v>
      </c>
      <c r="B1008">
        <v>292.04232788085938</v>
      </c>
    </row>
    <row r="1009" spans="1:4" x14ac:dyDescent="0.2">
      <c r="A1009" s="2">
        <v>45728.958333333336</v>
      </c>
      <c r="C1009">
        <v>66.830055236816406</v>
      </c>
      <c r="D1009">
        <v>20.733366012573242</v>
      </c>
    </row>
    <row r="1010" spans="1:4" x14ac:dyDescent="0.2">
      <c r="A1010" s="2">
        <v>45729</v>
      </c>
      <c r="B1010">
        <v>288.79299926757812</v>
      </c>
    </row>
    <row r="1011" spans="1:4" x14ac:dyDescent="0.2">
      <c r="A1011" s="2">
        <v>45729.958333333336</v>
      </c>
      <c r="C1011">
        <v>68.801795959472656</v>
      </c>
      <c r="D1011">
        <v>21.458206176757812</v>
      </c>
    </row>
    <row r="1012" spans="1:4" x14ac:dyDescent="0.2">
      <c r="A1012" s="2">
        <v>45730</v>
      </c>
      <c r="B1012">
        <v>294.69180297851562</v>
      </c>
    </row>
    <row r="1013" spans="1:4" x14ac:dyDescent="0.2">
      <c r="A1013" s="2">
        <v>45732.958333333336</v>
      </c>
      <c r="C1013">
        <v>70.791702270507812</v>
      </c>
      <c r="D1013">
        <v>21.346319198608398</v>
      </c>
    </row>
    <row r="1014" spans="1:4" x14ac:dyDescent="0.2">
      <c r="A1014" s="2">
        <v>45733</v>
      </c>
      <c r="B1014">
        <v>294.79180908203125</v>
      </c>
    </row>
    <row r="1015" spans="1:4" x14ac:dyDescent="0.2">
      <c r="A1015" s="2">
        <v>45733.958333333336</v>
      </c>
      <c r="C1015">
        <v>72.881561279296875</v>
      </c>
      <c r="D1015">
        <v>22.256017684936523</v>
      </c>
    </row>
    <row r="1016" spans="1:4" x14ac:dyDescent="0.2">
      <c r="A1016" s="2">
        <v>45734</v>
      </c>
      <c r="B1016">
        <v>303.59005737304688</v>
      </c>
    </row>
    <row r="1017" spans="1:4" x14ac:dyDescent="0.2">
      <c r="A1017" s="2">
        <v>45734.958333333336</v>
      </c>
      <c r="C1017">
        <v>73.472175598144531</v>
      </c>
      <c r="D1017">
        <v>22.100347518920898</v>
      </c>
    </row>
    <row r="1018" spans="1:4" x14ac:dyDescent="0.2">
      <c r="A1018" s="2">
        <v>45735</v>
      </c>
      <c r="B1018">
        <v>304.83981323242188</v>
      </c>
    </row>
    <row r="1019" spans="1:4" x14ac:dyDescent="0.2">
      <c r="A1019" s="2">
        <v>45735.958333333336</v>
      </c>
      <c r="C1019">
        <v>71.827545166015625</v>
      </c>
      <c r="D1019">
        <v>21.652793884277344</v>
      </c>
    </row>
    <row r="1020" spans="1:4" x14ac:dyDescent="0.2">
      <c r="A1020" s="2">
        <v>45736</v>
      </c>
      <c r="B1020">
        <v>301.9903564453125</v>
      </c>
    </row>
    <row r="1021" spans="1:4" x14ac:dyDescent="0.2">
      <c r="A1021" s="2">
        <v>45736.958333333336</v>
      </c>
      <c r="C1021">
        <v>72.436332702636719</v>
      </c>
      <c r="D1021">
        <v>21.677118301391602</v>
      </c>
    </row>
    <row r="1022" spans="1:4" x14ac:dyDescent="0.2">
      <c r="A1022" s="2">
        <v>45737</v>
      </c>
      <c r="B1022">
        <v>297.39129638671875</v>
      </c>
    </row>
    <row r="1023" spans="1:4" x14ac:dyDescent="0.2">
      <c r="A1023" s="2">
        <v>45739.958333333336</v>
      </c>
      <c r="C1023">
        <v>72.172821044921875</v>
      </c>
      <c r="D1023">
        <v>21.677118301391602</v>
      </c>
    </row>
    <row r="1024" spans="1:4" x14ac:dyDescent="0.2">
      <c r="A1024" s="2">
        <v>45740</v>
      </c>
      <c r="B1024">
        <v>303.54006958007812</v>
      </c>
    </row>
    <row r="1025" spans="1:4" x14ac:dyDescent="0.2">
      <c r="A1025" s="2">
        <v>45740.958333333336</v>
      </c>
      <c r="C1025">
        <v>74.126388549804688</v>
      </c>
      <c r="D1025">
        <v>22.723030090332031</v>
      </c>
    </row>
    <row r="1026" spans="1:4" x14ac:dyDescent="0.2">
      <c r="A1026" s="2">
        <v>45741</v>
      </c>
      <c r="B1026">
        <v>307.93917846679688</v>
      </c>
    </row>
    <row r="1027" spans="1:4" x14ac:dyDescent="0.2">
      <c r="A1027" s="2">
        <v>45741.958333333336</v>
      </c>
      <c r="C1027">
        <v>73.054206848144531</v>
      </c>
      <c r="D1027">
        <v>22.479793548583984</v>
      </c>
    </row>
    <row r="1028" spans="1:4" x14ac:dyDescent="0.2">
      <c r="A1028" s="2">
        <v>45742</v>
      </c>
      <c r="B1028">
        <v>309.18896484375</v>
      </c>
    </row>
    <row r="1029" spans="1:4" x14ac:dyDescent="0.2">
      <c r="A1029" s="2">
        <v>45742.958333333336</v>
      </c>
      <c r="C1029">
        <v>72.390899658203125</v>
      </c>
      <c r="D1029">
        <v>22.226829528808594</v>
      </c>
    </row>
    <row r="1030" spans="1:4" x14ac:dyDescent="0.2">
      <c r="A1030" s="2">
        <v>45743</v>
      </c>
      <c r="B1030">
        <v>303.44009399414062</v>
      </c>
    </row>
    <row r="1031" spans="1:4" x14ac:dyDescent="0.2">
      <c r="A1031" s="2">
        <v>45743.958333333336</v>
      </c>
      <c r="C1031">
        <v>71.37322998046875</v>
      </c>
      <c r="D1031">
        <v>21.584688186645508</v>
      </c>
    </row>
    <row r="1032" spans="1:4" x14ac:dyDescent="0.2">
      <c r="A1032" s="2">
        <v>45744</v>
      </c>
      <c r="B1032">
        <v>293.44204711914062</v>
      </c>
    </row>
    <row r="1033" spans="1:4" x14ac:dyDescent="0.2">
      <c r="A1033" s="2">
        <v>45746.958333333336</v>
      </c>
      <c r="C1033">
        <v>69.883071899414062</v>
      </c>
      <c r="D1033">
        <v>21.229564666748047</v>
      </c>
    </row>
    <row r="1034" spans="1:4" x14ac:dyDescent="0.2">
      <c r="A1034" s="2">
        <v>45747</v>
      </c>
      <c r="B1034">
        <v>287.74319458007812</v>
      </c>
    </row>
    <row r="1035" spans="1:4" x14ac:dyDescent="0.2">
      <c r="A1035" s="2">
        <v>45747.958333333336</v>
      </c>
      <c r="C1035">
        <v>71.318710327148438</v>
      </c>
      <c r="D1035">
        <v>21.647930145263672</v>
      </c>
    </row>
    <row r="1036" spans="1:4" x14ac:dyDescent="0.2">
      <c r="A1036" s="2">
        <v>45748</v>
      </c>
      <c r="B1036">
        <v>293.84197998046875</v>
      </c>
    </row>
    <row r="1037" spans="1:4" x14ac:dyDescent="0.2">
      <c r="A1037" s="2">
        <v>45748.958333333336</v>
      </c>
      <c r="C1037">
        <v>70.646324157714844</v>
      </c>
      <c r="D1037">
        <v>21.769548416137695</v>
      </c>
    </row>
    <row r="1038" spans="1:4" x14ac:dyDescent="0.2">
      <c r="A1038" s="2">
        <v>45749</v>
      </c>
      <c r="B1038">
        <v>296.69143676757812</v>
      </c>
    </row>
    <row r="1039" spans="1:4" x14ac:dyDescent="0.2">
      <c r="A1039" s="2">
        <v>45749.958333333336</v>
      </c>
      <c r="C1039">
        <v>66.966346740722656</v>
      </c>
      <c r="D1039">
        <v>20.266353607177734</v>
      </c>
    </row>
    <row r="1040" spans="1:4" x14ac:dyDescent="0.2">
      <c r="A1040" s="2">
        <v>45750</v>
      </c>
      <c r="B1040">
        <v>270.84649658203125</v>
      </c>
    </row>
    <row r="1041" spans="1:4" x14ac:dyDescent="0.2">
      <c r="A1041" s="2">
        <v>45750.958333333336</v>
      </c>
      <c r="C1041">
        <v>62.395919799804688</v>
      </c>
      <c r="D1041">
        <v>18.28544807434082</v>
      </c>
    </row>
    <row r="1042" spans="1:4" x14ac:dyDescent="0.2">
      <c r="A1042" s="2">
        <v>45751</v>
      </c>
      <c r="B1042">
        <v>250.00064086914062</v>
      </c>
    </row>
    <row r="1043" spans="1:4" x14ac:dyDescent="0.2">
      <c r="A1043" s="2">
        <v>45753.958333333336</v>
      </c>
      <c r="C1043">
        <v>60.06072998046875</v>
      </c>
      <c r="D1043">
        <v>17.582984924316406</v>
      </c>
    </row>
    <row r="1044" spans="1:4" x14ac:dyDescent="0.2">
      <c r="A1044" s="2">
        <v>45754</v>
      </c>
      <c r="B1044">
        <v>241.80226135253906</v>
      </c>
    </row>
    <row r="1045" spans="1:4" x14ac:dyDescent="0.2">
      <c r="A1045" s="2">
        <v>45754.958333333336</v>
      </c>
      <c r="C1045">
        <v>60.142509460449219</v>
      </c>
      <c r="D1045">
        <v>18.299068450927734</v>
      </c>
    </row>
    <row r="1046" spans="1:4" x14ac:dyDescent="0.2">
      <c r="A1046" s="2">
        <v>45755</v>
      </c>
      <c r="B1046">
        <v>253.99986267089844</v>
      </c>
    </row>
    <row r="1047" spans="1:4" x14ac:dyDescent="0.2">
      <c r="A1047" s="2">
        <v>45755.958333333336</v>
      </c>
      <c r="C1047">
        <v>57.95269775390625</v>
      </c>
      <c r="D1047">
        <v>17.464286804199219</v>
      </c>
    </row>
    <row r="1048" spans="1:4" x14ac:dyDescent="0.2">
      <c r="A1048" s="2">
        <v>45756</v>
      </c>
      <c r="B1048">
        <v>241.602294921875</v>
      </c>
    </row>
    <row r="1049" spans="1:4" x14ac:dyDescent="0.2">
      <c r="A1049" s="2">
        <v>45756.958333333336</v>
      </c>
      <c r="C1049">
        <v>61.087493896484375</v>
      </c>
      <c r="D1049">
        <v>18.713541030883789</v>
      </c>
    </row>
    <row r="1050" spans="1:4" x14ac:dyDescent="0.2">
      <c r="A1050" s="2">
        <v>45757</v>
      </c>
      <c r="B1050">
        <v>260.19863891601562</v>
      </c>
    </row>
    <row r="1051" spans="1:4" x14ac:dyDescent="0.2">
      <c r="A1051" s="2">
        <v>45757.958333333336</v>
      </c>
      <c r="C1051">
        <v>59.615501403808594</v>
      </c>
      <c r="D1051">
        <v>18.783592224121094</v>
      </c>
    </row>
    <row r="1052" spans="1:4" x14ac:dyDescent="0.2">
      <c r="A1052" s="2">
        <v>45758</v>
      </c>
      <c r="B1052">
        <v>257.89907836914062</v>
      </c>
    </row>
    <row r="1053" spans="1:4" x14ac:dyDescent="0.2">
      <c r="A1053" s="2">
        <v>45760.958333333336</v>
      </c>
      <c r="C1053">
        <v>62.241455078125</v>
      </c>
      <c r="D1053">
        <v>19.765291213989258</v>
      </c>
    </row>
    <row r="1054" spans="1:4" x14ac:dyDescent="0.2">
      <c r="A1054" s="2">
        <v>45761</v>
      </c>
      <c r="B1054">
        <v>270.34661865234375</v>
      </c>
    </row>
    <row r="1055" spans="1:4" x14ac:dyDescent="0.2">
      <c r="A1055" s="2">
        <v>45761.958333333336</v>
      </c>
      <c r="C1055">
        <v>64.131416320800781</v>
      </c>
      <c r="D1055">
        <v>20.276084899902344</v>
      </c>
    </row>
    <row r="1056" spans="1:4" x14ac:dyDescent="0.2">
      <c r="A1056" s="2">
        <v>45762</v>
      </c>
      <c r="B1056">
        <v>279.1448974609375</v>
      </c>
    </row>
    <row r="1057" spans="1:4" x14ac:dyDescent="0.2">
      <c r="A1057" s="2">
        <v>45762.958333333336</v>
      </c>
      <c r="C1057">
        <v>65.040046691894531</v>
      </c>
      <c r="D1057">
        <v>20.251760482788086</v>
      </c>
    </row>
    <row r="1058" spans="1:4" x14ac:dyDescent="0.2">
      <c r="A1058" s="2">
        <v>45763</v>
      </c>
      <c r="B1058">
        <v>277.94512939453125</v>
      </c>
    </row>
    <row r="1059" spans="1:4" x14ac:dyDescent="0.2">
      <c r="A1059" s="2">
        <v>45763.958333333336</v>
      </c>
      <c r="C1059">
        <v>64.27679443359375</v>
      </c>
      <c r="D1059">
        <v>20.115547180175781</v>
      </c>
    </row>
    <row r="1060" spans="1:4" x14ac:dyDescent="0.2">
      <c r="A1060" s="2">
        <v>45764</v>
      </c>
      <c r="B1060">
        <v>277.2452392578125</v>
      </c>
    </row>
    <row r="1061" spans="1:4" x14ac:dyDescent="0.2">
      <c r="A1061" s="2">
        <v>45768.958333333336</v>
      </c>
      <c r="C1061">
        <v>65.076393127441406</v>
      </c>
      <c r="D1061">
        <v>20.436618804931641</v>
      </c>
    </row>
    <row r="1062" spans="1:4" x14ac:dyDescent="0.2">
      <c r="A1062" s="2">
        <v>45769</v>
      </c>
      <c r="B1062">
        <v>279.94473266601562</v>
      </c>
    </row>
    <row r="1063" spans="1:4" x14ac:dyDescent="0.2">
      <c r="A1063" s="2">
        <v>45769.958333333336</v>
      </c>
      <c r="C1063">
        <v>67.075393676757812</v>
      </c>
      <c r="D1063">
        <v>21.356048583984375</v>
      </c>
    </row>
    <row r="1064" spans="1:4" x14ac:dyDescent="0.2">
      <c r="A1064" s="2">
        <v>45770</v>
      </c>
      <c r="B1064">
        <v>293.6920166015625</v>
      </c>
    </row>
    <row r="1065" spans="1:4" x14ac:dyDescent="0.2">
      <c r="A1065" s="2">
        <v>45770.958333333336</v>
      </c>
      <c r="C1065">
        <v>65.630661010742188</v>
      </c>
      <c r="D1065">
        <v>21.472801208496094</v>
      </c>
    </row>
    <row r="1066" spans="1:4" x14ac:dyDescent="0.2">
      <c r="A1066" s="2">
        <v>45771</v>
      </c>
      <c r="B1066">
        <v>289.5428466796875</v>
      </c>
    </row>
    <row r="1067" spans="1:4" x14ac:dyDescent="0.2">
      <c r="A1067" s="2">
        <v>45771.958333333336</v>
      </c>
      <c r="C1067">
        <v>66.157661437988281</v>
      </c>
      <c r="D1067">
        <v>21.881435394287109</v>
      </c>
    </row>
    <row r="1068" spans="1:4" x14ac:dyDescent="0.2">
      <c r="A1068" s="2">
        <v>45772</v>
      </c>
      <c r="B1068">
        <v>292.79217529296875</v>
      </c>
    </row>
    <row r="1069" spans="1:4" x14ac:dyDescent="0.2">
      <c r="A1069" s="2">
        <v>45774.958333333336</v>
      </c>
      <c r="C1069">
        <v>67.329803466796875</v>
      </c>
      <c r="D1069">
        <v>21.808465957641602</v>
      </c>
    </row>
    <row r="1070" spans="1:4" x14ac:dyDescent="0.2">
      <c r="A1070" s="2">
        <v>45775</v>
      </c>
      <c r="B1070">
        <v>295.041748046875</v>
      </c>
    </row>
    <row r="1071" spans="1:4" x14ac:dyDescent="0.2">
      <c r="A1071" s="2">
        <v>45775.958333333336</v>
      </c>
      <c r="C1071">
        <v>67.965850830078125</v>
      </c>
      <c r="D1071">
        <v>22.907888412475586</v>
      </c>
    </row>
    <row r="1072" spans="1:4" x14ac:dyDescent="0.2">
      <c r="A1072" s="2">
        <v>45776</v>
      </c>
      <c r="B1072">
        <v>297.941162109375</v>
      </c>
    </row>
    <row r="1073" spans="1:4" x14ac:dyDescent="0.2">
      <c r="A1073" s="2">
        <v>45776.958333333336</v>
      </c>
      <c r="C1073">
        <v>67.50244140625</v>
      </c>
      <c r="D1073">
        <v>22.358177185058594</v>
      </c>
    </row>
    <row r="1074" spans="1:4" x14ac:dyDescent="0.2">
      <c r="A1074" s="2">
        <v>45777</v>
      </c>
      <c r="B1074">
        <v>296.74142456054688</v>
      </c>
    </row>
    <row r="1075" spans="1:4" x14ac:dyDescent="0.2">
      <c r="A1075" s="2">
        <v>45778</v>
      </c>
      <c r="B1075">
        <v>294.74179077148438</v>
      </c>
    </row>
    <row r="1076" spans="1:4" x14ac:dyDescent="0.2">
      <c r="A1076" s="2">
        <v>45778.958333333336</v>
      </c>
      <c r="C1076">
        <v>69.383316040039062</v>
      </c>
      <c r="D1076">
        <v>22.86897087097168</v>
      </c>
    </row>
    <row r="1077" spans="1:4" x14ac:dyDescent="0.2">
      <c r="A1077" s="2">
        <v>45779</v>
      </c>
      <c r="B1077">
        <v>300.99057006835938</v>
      </c>
    </row>
    <row r="1078" spans="1:4" x14ac:dyDescent="0.2">
      <c r="A1078" s="2">
        <v>45781.958333333336</v>
      </c>
      <c r="C1078">
        <v>69.383316040039062</v>
      </c>
      <c r="D1078">
        <v>23.306793212890625</v>
      </c>
    </row>
    <row r="1079" spans="1:4" x14ac:dyDescent="0.2">
      <c r="A1079" s="2">
        <v>45782.958333333336</v>
      </c>
      <c r="C1079">
        <v>69.05621337890625</v>
      </c>
      <c r="D1079">
        <v>23.063558578491211</v>
      </c>
    </row>
    <row r="1080" spans="1:4" x14ac:dyDescent="0.2">
      <c r="A1080" s="2">
        <v>45783</v>
      </c>
      <c r="B1080">
        <v>298.04116821289062</v>
      </c>
    </row>
    <row r="1081" spans="1:4" x14ac:dyDescent="0.2">
      <c r="A1081" s="2">
        <v>45783.958333333336</v>
      </c>
      <c r="C1081">
        <v>69.074378967285156</v>
      </c>
      <c r="D1081">
        <v>22.941940307617188</v>
      </c>
    </row>
    <row r="1082" spans="1:4" x14ac:dyDescent="0.2">
      <c r="A1082" s="2">
        <v>45784</v>
      </c>
      <c r="B1082">
        <v>296.09152221679688</v>
      </c>
    </row>
    <row r="1083" spans="1:4" x14ac:dyDescent="0.2">
      <c r="A1083" s="2">
        <v>45784.958333333336</v>
      </c>
      <c r="C1083">
        <v>69.96484375</v>
      </c>
      <c r="D1083">
        <v>23.073287963867188</v>
      </c>
    </row>
    <row r="1084" spans="1:4" x14ac:dyDescent="0.2">
      <c r="A1084" s="2">
        <v>45785</v>
      </c>
      <c r="B1084">
        <v>304.98974609375</v>
      </c>
    </row>
    <row r="1085" spans="1:4" x14ac:dyDescent="0.2">
      <c r="A1085" s="2">
        <v>45785.958333333336</v>
      </c>
      <c r="C1085">
        <v>70.419158935546875</v>
      </c>
      <c r="D1085">
        <v>23.511112213134766</v>
      </c>
    </row>
    <row r="1086" spans="1:4" x14ac:dyDescent="0.2">
      <c r="A1086" s="2">
        <v>45786</v>
      </c>
      <c r="B1086">
        <v>306.93939208984375</v>
      </c>
    </row>
    <row r="1087" spans="1:4" x14ac:dyDescent="0.2">
      <c r="A1087" s="2">
        <v>45788.958333333336</v>
      </c>
      <c r="C1087">
        <v>71.827545166015625</v>
      </c>
      <c r="D1087">
        <v>24.012176513671875</v>
      </c>
    </row>
    <row r="1088" spans="1:4" x14ac:dyDescent="0.2">
      <c r="A1088" s="2">
        <v>45789</v>
      </c>
      <c r="B1088">
        <v>313.23812866210938</v>
      </c>
    </row>
    <row r="1089" spans="1:4" x14ac:dyDescent="0.2">
      <c r="A1089" s="2">
        <v>45789.958333333336</v>
      </c>
      <c r="C1089">
        <v>71.854804992675781</v>
      </c>
      <c r="D1089">
        <v>24.060823440551758</v>
      </c>
    </row>
    <row r="1090" spans="1:4" x14ac:dyDescent="0.2">
      <c r="A1090" s="2">
        <v>45790</v>
      </c>
      <c r="B1090">
        <v>316.7874755859375</v>
      </c>
    </row>
    <row r="1091" spans="1:4" x14ac:dyDescent="0.2">
      <c r="A1091" s="2">
        <v>45790.958333333336</v>
      </c>
      <c r="C1091">
        <v>72.618049621582031</v>
      </c>
      <c r="D1091">
        <v>24.060823440551758</v>
      </c>
    </row>
    <row r="1092" spans="1:4" x14ac:dyDescent="0.2">
      <c r="A1092" s="2">
        <v>45791</v>
      </c>
      <c r="B1092">
        <v>320.23675537109375</v>
      </c>
    </row>
    <row r="1093" spans="1:4" x14ac:dyDescent="0.2">
      <c r="A1093" s="2">
        <v>45791.958333333336</v>
      </c>
      <c r="C1093">
        <v>72.327285766601562</v>
      </c>
      <c r="D1093">
        <v>24.493780136108398</v>
      </c>
    </row>
    <row r="1094" spans="1:4" x14ac:dyDescent="0.2">
      <c r="A1094" s="2">
        <v>45792</v>
      </c>
      <c r="B1094">
        <v>322.23635864257812</v>
      </c>
    </row>
    <row r="1095" spans="1:4" x14ac:dyDescent="0.2">
      <c r="A1095" s="2">
        <v>45792.958333333336</v>
      </c>
      <c r="C1095">
        <v>72.136474609375</v>
      </c>
      <c r="D1095">
        <v>24.270004272460938</v>
      </c>
    </row>
    <row r="1096" spans="1:4" x14ac:dyDescent="0.2">
      <c r="A1096" s="2">
        <v>45793</v>
      </c>
      <c r="B1096">
        <v>325.43572998046875</v>
      </c>
    </row>
    <row r="1097" spans="1:4" x14ac:dyDescent="0.2">
      <c r="A1097" s="2">
        <v>45795.958333333336</v>
      </c>
      <c r="C1097">
        <v>74.602272033691406</v>
      </c>
      <c r="D1097">
        <v>24.591075897216797</v>
      </c>
    </row>
    <row r="1098" spans="1:4" x14ac:dyDescent="0.2">
      <c r="A1098" s="2">
        <v>45796</v>
      </c>
      <c r="B1098">
        <v>325.63571166992188</v>
      </c>
    </row>
    <row r="1099" spans="1:4" x14ac:dyDescent="0.2">
      <c r="A1099" s="2">
        <v>45796.958333333336</v>
      </c>
      <c r="C1099">
        <v>75.076087951660156</v>
      </c>
      <c r="D1099">
        <v>24.537563323974609</v>
      </c>
    </row>
    <row r="1100" spans="1:4" x14ac:dyDescent="0.2">
      <c r="A1100" s="2">
        <v>45797</v>
      </c>
      <c r="B1100">
        <v>329.53494262695312</v>
      </c>
    </row>
    <row r="1101" spans="1:4" x14ac:dyDescent="0.2">
      <c r="A1101" s="2">
        <v>45797.958333333336</v>
      </c>
      <c r="C1101">
        <v>75.366188049316406</v>
      </c>
      <c r="D1101">
        <v>24.809988021850586</v>
      </c>
    </row>
    <row r="1102" spans="1:4" x14ac:dyDescent="0.2">
      <c r="A1102" s="2">
        <v>45798</v>
      </c>
      <c r="B1102">
        <v>327.93527221679688</v>
      </c>
    </row>
    <row r="1103" spans="1:4" x14ac:dyDescent="0.2">
      <c r="A1103" s="2">
        <v>45798.958333333336</v>
      </c>
      <c r="C1103">
        <v>74.940711975097656</v>
      </c>
      <c r="D1103">
        <v>24.44999885559082</v>
      </c>
    </row>
    <row r="1104" spans="1:4" x14ac:dyDescent="0.2">
      <c r="A1104" s="2">
        <v>45799</v>
      </c>
      <c r="B1104">
        <v>326.58551025390625</v>
      </c>
    </row>
    <row r="1105" spans="1:4" x14ac:dyDescent="0.2">
      <c r="A1105" s="2">
        <v>45799.958333333336</v>
      </c>
      <c r="C1105">
        <v>73.335525512695312</v>
      </c>
      <c r="D1105">
        <v>24.084999084472656</v>
      </c>
    </row>
    <row r="1106" spans="1:4" x14ac:dyDescent="0.2">
      <c r="A1106" s="2">
        <v>45800</v>
      </c>
      <c r="B1106">
        <v>323.23617553710938</v>
      </c>
    </row>
    <row r="1107" spans="1:4" x14ac:dyDescent="0.2">
      <c r="A1107" s="2">
        <v>45802.958333333336</v>
      </c>
      <c r="C1107">
        <v>74.669960021972656</v>
      </c>
      <c r="D1107">
        <v>24.540000915527344</v>
      </c>
    </row>
    <row r="1108" spans="1:4" x14ac:dyDescent="0.2">
      <c r="A1108" s="2">
        <v>45803.958333333336</v>
      </c>
      <c r="C1108">
        <v>74.863349914550781</v>
      </c>
      <c r="D1108">
        <v>24.799999237060547</v>
      </c>
    </row>
    <row r="1109" spans="1:4" x14ac:dyDescent="0.2">
      <c r="A1109" s="2">
        <v>45804</v>
      </c>
      <c r="B1109">
        <v>328.03521728515625</v>
      </c>
    </row>
    <row r="1110" spans="1:4" x14ac:dyDescent="0.2">
      <c r="A1110" s="2">
        <v>45804.958333333336</v>
      </c>
      <c r="C1110">
        <v>74.051094055175781</v>
      </c>
      <c r="D1110">
        <v>24.309999465942383</v>
      </c>
    </row>
    <row r="1111" spans="1:4" x14ac:dyDescent="0.2">
      <c r="A1111" s="2">
        <v>45805</v>
      </c>
      <c r="B1111">
        <v>323.88604736328125</v>
      </c>
    </row>
    <row r="1112" spans="1:4" x14ac:dyDescent="0.2">
      <c r="A1112" s="2">
        <v>45805.958333333336</v>
      </c>
      <c r="C1112">
        <v>74.292839050292969</v>
      </c>
      <c r="D1112">
        <v>24.409999847412109</v>
      </c>
    </row>
    <row r="1113" spans="1:4" x14ac:dyDescent="0.2">
      <c r="A1113" s="2">
        <v>45806</v>
      </c>
      <c r="B1113">
        <v>325.98562622070312</v>
      </c>
    </row>
    <row r="1114" spans="1:4" x14ac:dyDescent="0.2">
      <c r="A1114" s="2">
        <v>45806.958333333336</v>
      </c>
      <c r="C1114">
        <v>74.592597961425781</v>
      </c>
      <c r="D1114">
        <v>24.360000610351562</v>
      </c>
    </row>
    <row r="1115" spans="1:4" x14ac:dyDescent="0.2">
      <c r="A1115" s="2">
        <v>45807</v>
      </c>
      <c r="B1115">
        <v>327.43536376953125</v>
      </c>
    </row>
    <row r="1116" spans="1:4" x14ac:dyDescent="0.2">
      <c r="A1116" s="2">
        <v>45809.958333333336</v>
      </c>
      <c r="C1116">
        <v>74.176803588867188</v>
      </c>
      <c r="D1116">
        <v>24.194999694824219</v>
      </c>
    </row>
    <row r="1117" spans="1:4" x14ac:dyDescent="0.2">
      <c r="A1117" s="2">
        <v>45810</v>
      </c>
      <c r="B1117">
        <v>326.98541259765625</v>
      </c>
    </row>
    <row r="1118" spans="1:4" x14ac:dyDescent="0.2">
      <c r="A1118" s="2">
        <v>45810.958333333336</v>
      </c>
      <c r="C1118">
        <v>74.669960021972656</v>
      </c>
      <c r="D1118">
        <v>24.444999694824219</v>
      </c>
    </row>
    <row r="1119" spans="1:4" x14ac:dyDescent="0.2">
      <c r="A1119" s="2">
        <v>45811</v>
      </c>
      <c r="B1119">
        <v>329.18499755859375</v>
      </c>
    </row>
    <row r="1120" spans="1:4" x14ac:dyDescent="0.2">
      <c r="A1120" s="2">
        <v>45811.958333333336</v>
      </c>
      <c r="C1120">
        <v>74.109115600585938</v>
      </c>
      <c r="D1120">
        <v>24.040000915527344</v>
      </c>
    </row>
    <row r="1121" spans="1:4" x14ac:dyDescent="0.2">
      <c r="A1121" s="2">
        <v>45812</v>
      </c>
      <c r="B1121">
        <v>325.88568115234375</v>
      </c>
    </row>
    <row r="1122" spans="1:4" x14ac:dyDescent="0.2">
      <c r="A1122" s="2">
        <v>45812.958333333336</v>
      </c>
      <c r="C1122">
        <v>74.940711975097656</v>
      </c>
      <c r="D1122">
        <v>24.524999618530273</v>
      </c>
    </row>
    <row r="1123" spans="1:4" x14ac:dyDescent="0.2">
      <c r="A1123" s="2">
        <v>45813</v>
      </c>
      <c r="B1123">
        <v>326.98541259765625</v>
      </c>
    </row>
    <row r="1124" spans="1:4" x14ac:dyDescent="0.2">
      <c r="A1124" s="2">
        <v>45813.958333333336</v>
      </c>
      <c r="C1124">
        <v>75.559577941894531</v>
      </c>
      <c r="D1124">
        <v>24.700000762939453</v>
      </c>
    </row>
    <row r="1125" spans="1:4" x14ac:dyDescent="0.2">
      <c r="A1125" s="2">
        <v>45814</v>
      </c>
      <c r="B1125">
        <v>333.13424682617188</v>
      </c>
    </row>
    <row r="1126" spans="1:4" x14ac:dyDescent="0.2">
      <c r="A1126" s="2">
        <v>45816.958333333336</v>
      </c>
      <c r="C1126">
        <v>75.898017883300781</v>
      </c>
      <c r="D1126">
        <v>24.700000762939453</v>
      </c>
    </row>
    <row r="1127" spans="1:4" x14ac:dyDescent="0.2">
      <c r="A1127" s="2">
        <v>45817</v>
      </c>
      <c r="B1127">
        <v>332.3843994140625</v>
      </c>
    </row>
    <row r="1128" spans="1:4" x14ac:dyDescent="0.2">
      <c r="A1128" s="2">
        <v>45817.958333333336</v>
      </c>
      <c r="C1128">
        <v>73.770668029785156</v>
      </c>
      <c r="D1128">
        <v>24.399999618530273</v>
      </c>
    </row>
    <row r="1129" spans="1:4" x14ac:dyDescent="0.2">
      <c r="A1129" s="2">
        <v>45818</v>
      </c>
      <c r="B1129">
        <v>323.28616333007812</v>
      </c>
    </row>
    <row r="1130" spans="1:4" x14ac:dyDescent="0.2">
      <c r="A1130" s="2">
        <v>45818.958333333336</v>
      </c>
      <c r="C1130">
        <v>73.702980041503906</v>
      </c>
      <c r="D1130">
        <v>24.700000762939453</v>
      </c>
    </row>
    <row r="1131" spans="1:4" x14ac:dyDescent="0.2">
      <c r="A1131" s="2">
        <v>45819</v>
      </c>
      <c r="B1131">
        <v>322.93624877929688</v>
      </c>
    </row>
    <row r="1132" spans="1:4" x14ac:dyDescent="0.2">
      <c r="A1132" s="2">
        <v>45819.958333333336</v>
      </c>
      <c r="C1132">
        <v>73.954399108886719</v>
      </c>
      <c r="D1132">
        <v>24.395000457763672</v>
      </c>
    </row>
    <row r="1133" spans="1:4" x14ac:dyDescent="0.2">
      <c r="A1133" s="2">
        <v>45820</v>
      </c>
      <c r="B1133">
        <v>323.88604736328125</v>
      </c>
    </row>
    <row r="1134" spans="1:4" x14ac:dyDescent="0.2">
      <c r="A1134" s="2">
        <v>45820.958333333336</v>
      </c>
      <c r="C1134">
        <v>72.794021606445312</v>
      </c>
      <c r="D1134">
        <v>23.879999160766602</v>
      </c>
    </row>
    <row r="1135" spans="1:4" x14ac:dyDescent="0.2">
      <c r="A1135" s="2">
        <v>45821</v>
      </c>
      <c r="B1135">
        <v>319.23696899414062</v>
      </c>
    </row>
    <row r="1136" spans="1:4" x14ac:dyDescent="0.2">
      <c r="A1136" s="2">
        <v>45823.958333333336</v>
      </c>
      <c r="C1136">
        <v>74.940711975097656</v>
      </c>
      <c r="D1136">
        <v>24.450000762939453</v>
      </c>
    </row>
    <row r="1137" spans="1:4" x14ac:dyDescent="0.2">
      <c r="A1137" s="2">
        <v>45824</v>
      </c>
      <c r="B1137">
        <v>325.53573608398438</v>
      </c>
    </row>
    <row r="1138" spans="1:4" x14ac:dyDescent="0.2">
      <c r="A1138" s="2">
        <v>45824.958333333336</v>
      </c>
      <c r="C1138">
        <v>73.46124267578125</v>
      </c>
      <c r="D1138">
        <v>23.934999465942383</v>
      </c>
    </row>
    <row r="1139" spans="1:4" x14ac:dyDescent="0.2">
      <c r="A1139" s="2">
        <v>45825</v>
      </c>
      <c r="B1139">
        <v>321.68646240234375</v>
      </c>
    </row>
    <row r="1140" spans="1:4" x14ac:dyDescent="0.2">
      <c r="A1140" s="2">
        <v>45825.958333333336</v>
      </c>
      <c r="C1140">
        <v>74.041427612304688</v>
      </c>
      <c r="D1140">
        <v>24.114999771118164</v>
      </c>
    </row>
    <row r="1141" spans="1:4" x14ac:dyDescent="0.2">
      <c r="A1141" s="2">
        <v>45826</v>
      </c>
      <c r="B1141">
        <v>325.0858154296875</v>
      </c>
    </row>
    <row r="1142" spans="1:4" x14ac:dyDescent="0.2">
      <c r="A1142" s="2">
        <v>45826.958333333336</v>
      </c>
      <c r="C1142">
        <v>72.175155639648438</v>
      </c>
      <c r="D1142">
        <v>23.799999237060547</v>
      </c>
    </row>
    <row r="1143" spans="1:4" x14ac:dyDescent="0.2">
      <c r="A1143" s="2">
        <v>45827</v>
      </c>
      <c r="B1143">
        <v>319.6868896484375</v>
      </c>
    </row>
    <row r="1144" spans="1:4" x14ac:dyDescent="0.2">
      <c r="A1144" s="2">
        <v>45827.958333333336</v>
      </c>
      <c r="C1144">
        <v>71.846389770507812</v>
      </c>
      <c r="D1144">
        <v>23.995000839233398</v>
      </c>
    </row>
    <row r="1145" spans="1:4" x14ac:dyDescent="0.2">
      <c r="A1145" s="2">
        <v>45828</v>
      </c>
      <c r="B1145">
        <v>323.93603515625</v>
      </c>
    </row>
    <row r="1146" spans="1:4" x14ac:dyDescent="0.2">
      <c r="A1146" s="2">
        <v>45830.958333333336</v>
      </c>
      <c r="C1146">
        <v>70.666679382324219</v>
      </c>
      <c r="D1146">
        <v>23.864999771118164</v>
      </c>
    </row>
    <row r="1147" spans="1:4" x14ac:dyDescent="0.2">
      <c r="A1147" s="2">
        <v>45831</v>
      </c>
      <c r="B1147">
        <v>318.58709716796875</v>
      </c>
    </row>
    <row r="1148" spans="1:4" x14ac:dyDescent="0.2">
      <c r="A1148" s="2">
        <v>45831.958333333336</v>
      </c>
      <c r="C1148">
        <v>72.890716552734375</v>
      </c>
      <c r="D1148">
        <v>25.139999389648438</v>
      </c>
    </row>
    <row r="1149" spans="1:4" x14ac:dyDescent="0.2">
      <c r="A1149" s="2">
        <v>45832</v>
      </c>
      <c r="B1149">
        <v>333.43417358398438</v>
      </c>
    </row>
    <row r="1150" spans="1:4" x14ac:dyDescent="0.2">
      <c r="A1150" s="2">
        <v>45832.958333333336</v>
      </c>
      <c r="C1150">
        <v>72.726333618164062</v>
      </c>
      <c r="D1150">
        <v>25.190000534057617</v>
      </c>
    </row>
    <row r="1151" spans="1:4" x14ac:dyDescent="0.2">
      <c r="A1151" s="2">
        <v>45833</v>
      </c>
      <c r="B1151">
        <v>331.78448486328125</v>
      </c>
    </row>
    <row r="1152" spans="1:4" x14ac:dyDescent="0.2">
      <c r="A1152" s="2">
        <v>45833.958333333336</v>
      </c>
      <c r="C1152">
        <v>72.784347534179688</v>
      </c>
      <c r="D1152">
        <v>25.540000915527344</v>
      </c>
    </row>
    <row r="1153" spans="1:4" x14ac:dyDescent="0.2">
      <c r="A1153" s="2">
        <v>45834</v>
      </c>
      <c r="B1153">
        <v>331.1346435546875</v>
      </c>
    </row>
    <row r="1154" spans="1:4" x14ac:dyDescent="0.2">
      <c r="A1154" s="2">
        <v>45834.958333333336</v>
      </c>
      <c r="C1154">
        <v>74.360527038574219</v>
      </c>
      <c r="D1154">
        <v>26</v>
      </c>
    </row>
    <row r="1155" spans="1:4" x14ac:dyDescent="0.2">
      <c r="A1155" s="2">
        <v>45835</v>
      </c>
      <c r="B1155">
        <v>338.483154296875</v>
      </c>
    </row>
    <row r="1156" spans="1:4" x14ac:dyDescent="0.2">
      <c r="A1156" s="2">
        <v>45837.958333333336</v>
      </c>
      <c r="C1156">
        <v>73.7996826171875</v>
      </c>
      <c r="D1156">
        <v>25.170000076293945</v>
      </c>
    </row>
    <row r="1157" spans="1:4" x14ac:dyDescent="0.2">
      <c r="A1157" s="2">
        <v>45838</v>
      </c>
      <c r="B1157">
        <v>337.23342895507812</v>
      </c>
    </row>
    <row r="1158" spans="1:4" x14ac:dyDescent="0.2">
      <c r="A1158" s="2">
        <v>45838.958333333336</v>
      </c>
      <c r="C1158">
        <v>72.716659545898438</v>
      </c>
      <c r="D1158">
        <v>24.260000228881836</v>
      </c>
    </row>
    <row r="1159" spans="1:4" x14ac:dyDescent="0.2">
      <c r="A1159" s="2">
        <v>45839</v>
      </c>
      <c r="B1159">
        <v>329.63491821289062</v>
      </c>
    </row>
    <row r="1160" spans="1:4" x14ac:dyDescent="0.2">
      <c r="A1160" s="2">
        <v>45839.958333333336</v>
      </c>
      <c r="C1160">
        <v>74.099441528320312</v>
      </c>
      <c r="D1160">
        <v>24.629999160766602</v>
      </c>
    </row>
    <row r="1161" spans="1:4" x14ac:dyDescent="0.2">
      <c r="A1161" s="2">
        <v>45840</v>
      </c>
      <c r="B1161">
        <v>325.68569946289062</v>
      </c>
    </row>
    <row r="1162" spans="1:4" x14ac:dyDescent="0.2">
      <c r="A1162" s="2">
        <v>45840.958333333336</v>
      </c>
      <c r="C1162">
        <v>74.051094055175781</v>
      </c>
      <c r="D1162">
        <v>24.864999771118164</v>
      </c>
    </row>
    <row r="1163" spans="1:4" x14ac:dyDescent="0.2">
      <c r="A1163" s="2">
        <v>45841</v>
      </c>
      <c r="B1163">
        <v>332.28439331054688</v>
      </c>
    </row>
    <row r="1164" spans="1:4" x14ac:dyDescent="0.2">
      <c r="A1164" s="2">
        <v>45841.958333333336</v>
      </c>
      <c r="C1164">
        <v>72.407234191894531</v>
      </c>
      <c r="D1164">
        <v>24.479999542236328</v>
      </c>
    </row>
    <row r="1165" spans="1:4" x14ac:dyDescent="0.2">
      <c r="A1165" s="2">
        <v>45842</v>
      </c>
      <c r="B1165">
        <v>330.43475341796875</v>
      </c>
    </row>
    <row r="1166" spans="1:4" x14ac:dyDescent="0.2">
      <c r="A1166" s="2">
        <v>45844.958333333336</v>
      </c>
      <c r="C1166">
        <v>73.432228088378906</v>
      </c>
      <c r="D1166">
        <v>24.829999923706055</v>
      </c>
    </row>
    <row r="1167" spans="1:4" x14ac:dyDescent="0.2">
      <c r="A1167" s="2">
        <v>45845</v>
      </c>
      <c r="B1167">
        <v>334.2340087890625</v>
      </c>
    </row>
    <row r="1168" spans="1:4" x14ac:dyDescent="0.2">
      <c r="A1168" s="2">
        <v>45845.958333333336</v>
      </c>
      <c r="C1168">
        <v>73.886711120605469</v>
      </c>
      <c r="D1168">
        <v>24.985000610351562</v>
      </c>
    </row>
    <row r="1169" spans="1:4" x14ac:dyDescent="0.2">
      <c r="A1169" s="2">
        <v>45846</v>
      </c>
      <c r="B1169">
        <v>334.58395385742188</v>
      </c>
    </row>
    <row r="1170" spans="1:4" x14ac:dyDescent="0.2">
      <c r="A1170" s="2">
        <v>45846.958333333336</v>
      </c>
      <c r="C1170">
        <v>76.265472412109375</v>
      </c>
      <c r="D1170">
        <v>25.829999923706055</v>
      </c>
    </row>
    <row r="1171" spans="1:4" x14ac:dyDescent="0.2">
      <c r="A1171" s="2">
        <v>45847</v>
      </c>
      <c r="B1171">
        <v>339.58294677734375</v>
      </c>
    </row>
    <row r="1172" spans="1:4" x14ac:dyDescent="0.2">
      <c r="A1172" s="2">
        <v>45847.958333333336</v>
      </c>
      <c r="C1172">
        <v>75.337173461914062</v>
      </c>
      <c r="D1172">
        <v>25.725000381469727</v>
      </c>
    </row>
    <row r="1173" spans="1:4" x14ac:dyDescent="0.2">
      <c r="A1173" s="2">
        <v>45848</v>
      </c>
      <c r="B1173">
        <v>343.5821533203125</v>
      </c>
    </row>
    <row r="1174" spans="1:4" x14ac:dyDescent="0.2">
      <c r="A1174" s="2">
        <v>45848.958333333336</v>
      </c>
      <c r="C1174">
        <v>74.0704345703125</v>
      </c>
      <c r="D1174">
        <v>25.385000228881836</v>
      </c>
    </row>
    <row r="1175" spans="1:4" x14ac:dyDescent="0.2">
      <c r="A1175" s="2">
        <v>45849</v>
      </c>
      <c r="B1175">
        <v>339.932861328125</v>
      </c>
    </row>
    <row r="1176" spans="1:4" x14ac:dyDescent="0.2">
      <c r="A1176" s="2">
        <v>45851.958333333336</v>
      </c>
      <c r="C1176">
        <v>74.147789001464844</v>
      </c>
      <c r="D1176">
        <v>25.504999160766602</v>
      </c>
    </row>
    <row r="1177" spans="1:4" x14ac:dyDescent="0.2">
      <c r="A1177" s="2">
        <v>45852</v>
      </c>
      <c r="B1177">
        <v>343.93206787109375</v>
      </c>
    </row>
    <row r="1178" spans="1:4" x14ac:dyDescent="0.2">
      <c r="A1178" s="2">
        <v>45852.958333333336</v>
      </c>
      <c r="C1178">
        <v>73.712654113769531</v>
      </c>
      <c r="D1178">
        <v>25.370000839233398</v>
      </c>
    </row>
    <row r="1179" spans="1:4" x14ac:dyDescent="0.2">
      <c r="A1179" s="2">
        <v>45853</v>
      </c>
      <c r="B1179">
        <v>343.2822265625</v>
      </c>
    </row>
    <row r="1180" spans="1:4" x14ac:dyDescent="0.2">
      <c r="A1180" s="2">
        <v>45853.958333333336</v>
      </c>
      <c r="C1180">
        <v>73.567604064941406</v>
      </c>
      <c r="D1180">
        <v>25.370000839233398</v>
      </c>
    </row>
    <row r="1181" spans="1:4" x14ac:dyDescent="0.2">
      <c r="A1181" s="2">
        <v>45854</v>
      </c>
      <c r="B1181">
        <v>342.53237915039062</v>
      </c>
    </row>
    <row r="1182" spans="1:4" x14ac:dyDescent="0.2">
      <c r="A1182" s="2">
        <v>45854.958333333336</v>
      </c>
      <c r="C1182">
        <v>74.602272033691406</v>
      </c>
      <c r="D1182">
        <v>25.954999923706055</v>
      </c>
    </row>
    <row r="1183" spans="1:4" x14ac:dyDescent="0.2">
      <c r="A1183" s="2">
        <v>45855</v>
      </c>
      <c r="B1183">
        <v>351.13067626953125</v>
      </c>
    </row>
    <row r="1184" spans="1:4" x14ac:dyDescent="0.2">
      <c r="A1184" s="2">
        <v>45855.958333333336</v>
      </c>
      <c r="C1184">
        <v>75.269477844238281</v>
      </c>
      <c r="D1184">
        <v>25.854999542236328</v>
      </c>
    </row>
    <row r="1185" spans="1:4" x14ac:dyDescent="0.2">
      <c r="A1185" s="2">
        <v>45856</v>
      </c>
      <c r="B1185">
        <v>349.58096313476562</v>
      </c>
    </row>
    <row r="1186" spans="1:4" x14ac:dyDescent="0.2">
      <c r="A1186" s="2">
        <v>45858.958333333336</v>
      </c>
      <c r="C1186">
        <v>75.172782897949219</v>
      </c>
      <c r="D1186">
        <v>26.135000228881836</v>
      </c>
    </row>
    <row r="1187" spans="1:4" x14ac:dyDescent="0.2">
      <c r="A1187" s="2">
        <v>45859</v>
      </c>
      <c r="B1187">
        <v>352.7303466796875</v>
      </c>
    </row>
    <row r="1188" spans="1:4" x14ac:dyDescent="0.2">
      <c r="A1188" s="2">
        <v>45859.958333333336</v>
      </c>
      <c r="C1188">
        <v>74.534584045410156</v>
      </c>
      <c r="D1188">
        <v>25.899999618530273</v>
      </c>
    </row>
    <row r="1189" spans="1:4" x14ac:dyDescent="0.2">
      <c r="A1189" s="2">
        <v>45860</v>
      </c>
      <c r="B1189">
        <v>348.68115234375</v>
      </c>
    </row>
    <row r="1190" spans="1:4" x14ac:dyDescent="0.2">
      <c r="A1190" s="2">
        <v>45860.958333333336</v>
      </c>
      <c r="C1190">
        <v>75.888351440429688</v>
      </c>
      <c r="D1190">
        <v>26.409999847412109</v>
      </c>
    </row>
    <row r="1191" spans="1:4" x14ac:dyDescent="0.2">
      <c r="A1191" s="2">
        <v>45861</v>
      </c>
      <c r="B1191">
        <v>351.78054809570312</v>
      </c>
    </row>
    <row r="1192" spans="1:4" x14ac:dyDescent="0.2">
      <c r="A1192" s="2">
        <v>45861.958333333336</v>
      </c>
      <c r="C1192">
        <v>76.1881103515625</v>
      </c>
      <c r="D1192">
        <v>28.819999694824219</v>
      </c>
    </row>
    <row r="1193" spans="1:4" x14ac:dyDescent="0.2">
      <c r="A1193" s="2">
        <v>45862</v>
      </c>
      <c r="B1193">
        <v>358.32925415039062</v>
      </c>
    </row>
    <row r="1194" spans="1:4" x14ac:dyDescent="0.2">
      <c r="A1194" s="2">
        <v>45862.958333333336</v>
      </c>
      <c r="C1194">
        <v>76.265472412109375</v>
      </c>
      <c r="D1194">
        <v>28.360000610351562</v>
      </c>
    </row>
    <row r="1195" spans="1:4" x14ac:dyDescent="0.2">
      <c r="A1195" s="2">
        <v>45863</v>
      </c>
      <c r="B1195">
        <v>360.4288330078125</v>
      </c>
    </row>
    <row r="1196" spans="1:4" x14ac:dyDescent="0.2">
      <c r="A1196" s="2">
        <v>45865.958333333336</v>
      </c>
      <c r="C1196">
        <v>74.824676513671875</v>
      </c>
      <c r="D1196">
        <v>28.059999465942383</v>
      </c>
    </row>
    <row r="1197" spans="1:4" x14ac:dyDescent="0.2">
      <c r="A1197" s="2">
        <v>45866</v>
      </c>
      <c r="B1197">
        <v>361.12869262695312</v>
      </c>
    </row>
    <row r="1198" spans="1:4" x14ac:dyDescent="0.2">
      <c r="A1198" s="2">
        <v>45866.958333333336</v>
      </c>
      <c r="C1198">
        <v>75.888351440429688</v>
      </c>
      <c r="D1198">
        <v>28.575000762939453</v>
      </c>
    </row>
    <row r="1199" spans="1:4" x14ac:dyDescent="0.2">
      <c r="A1199" s="2">
        <v>45867</v>
      </c>
      <c r="B1199">
        <v>371.12673950195312</v>
      </c>
    </row>
    <row r="1200" spans="1:4" x14ac:dyDescent="0.2">
      <c r="A1200" s="2">
        <v>45867.958333333336</v>
      </c>
      <c r="C1200">
        <v>76.458869934082031</v>
      </c>
      <c r="D1200">
        <v>29.100000381469727</v>
      </c>
    </row>
    <row r="1201" spans="1:4" x14ac:dyDescent="0.2">
      <c r="A1201" s="2">
        <v>45868</v>
      </c>
      <c r="B1201">
        <v>374.92596435546875</v>
      </c>
    </row>
    <row r="1202" spans="1:4" x14ac:dyDescent="0.2">
      <c r="A1202" s="2">
        <v>45868.958333333336</v>
      </c>
      <c r="C1202">
        <v>77.416168212890625</v>
      </c>
      <c r="D1202">
        <v>28.985000610351562</v>
      </c>
    </row>
    <row r="1203" spans="1:4" x14ac:dyDescent="0.2">
      <c r="A1203" s="2">
        <v>45869</v>
      </c>
      <c r="B1203">
        <v>371.2266845703125</v>
      </c>
    </row>
    <row r="1204" spans="1:4" x14ac:dyDescent="0.2">
      <c r="A1204" s="2">
        <v>45869.958333333336</v>
      </c>
      <c r="C1204">
        <v>74.00274658203125</v>
      </c>
      <c r="D1204">
        <v>28.094999313354492</v>
      </c>
    </row>
    <row r="1205" spans="1:4" x14ac:dyDescent="0.2">
      <c r="A1205" s="2">
        <v>45870</v>
      </c>
      <c r="B1205">
        <v>356.57958984375</v>
      </c>
    </row>
    <row r="1206" spans="1:4" x14ac:dyDescent="0.2">
      <c r="A1206" s="2">
        <v>45872.958333333336</v>
      </c>
      <c r="C1206">
        <v>75.907691955566406</v>
      </c>
      <c r="D1206">
        <v>29.030000686645508</v>
      </c>
    </row>
    <row r="1207" spans="1:4" x14ac:dyDescent="0.2">
      <c r="A1207" s="2">
        <v>45873</v>
      </c>
      <c r="B1207">
        <v>362.37847900390625</v>
      </c>
    </row>
    <row r="1208" spans="1:4" x14ac:dyDescent="0.2">
      <c r="A1208" s="2">
        <v>45873.958333333336</v>
      </c>
      <c r="C1208">
        <v>75.791648864746094</v>
      </c>
      <c r="D1208">
        <v>29.020000457763672</v>
      </c>
    </row>
    <row r="1209" spans="1:4" x14ac:dyDescent="0.2">
      <c r="A1209" s="2">
        <v>45874</v>
      </c>
      <c r="B1209">
        <v>360.77877807617188</v>
      </c>
    </row>
    <row r="1210" spans="1:4" x14ac:dyDescent="0.2">
      <c r="A1210" s="2">
        <v>45874.958333333336</v>
      </c>
      <c r="C1210">
        <v>76.6812744140625</v>
      </c>
      <c r="D1210">
        <v>29.780000686645508</v>
      </c>
    </row>
    <row r="1211" spans="1:4" x14ac:dyDescent="0.2">
      <c r="A1211" s="2">
        <v>45875</v>
      </c>
      <c r="B1211">
        <v>364.82794189453125</v>
      </c>
    </row>
    <row r="1212" spans="1:4" x14ac:dyDescent="0.2">
      <c r="A1212" s="2">
        <v>45875.958333333336</v>
      </c>
      <c r="C1212">
        <v>76.874664306640625</v>
      </c>
      <c r="D1212">
        <v>29.780000686645508</v>
      </c>
    </row>
    <row r="1213" spans="1:4" x14ac:dyDescent="0.2">
      <c r="A1213" s="2">
        <v>45876</v>
      </c>
      <c r="B1213">
        <v>361.95828247070312</v>
      </c>
    </row>
    <row r="1214" spans="1:4" x14ac:dyDescent="0.2">
      <c r="A1214" s="2">
        <v>45876.958333333336</v>
      </c>
      <c r="C1214">
        <v>78.808624267578125</v>
      </c>
      <c r="D1214">
        <v>31.049999237060547</v>
      </c>
    </row>
    <row r="1215" spans="1:4" x14ac:dyDescent="0.2">
      <c r="A1215" s="2">
        <v>45877</v>
      </c>
      <c r="B1215">
        <v>367.90762329101562</v>
      </c>
    </row>
    <row r="1216" spans="1:4" x14ac:dyDescent="0.2">
      <c r="A1216" s="2">
        <v>45879.958333333336</v>
      </c>
      <c r="C1216">
        <v>78.856971740722656</v>
      </c>
      <c r="D1216">
        <v>31.149999618530273</v>
      </c>
    </row>
    <row r="1217" spans="1:4" x14ac:dyDescent="0.2">
      <c r="A1217" s="2">
        <v>45880</v>
      </c>
      <c r="B1217">
        <v>370.95724487304688</v>
      </c>
    </row>
    <row r="1218" spans="1:4" x14ac:dyDescent="0.2">
      <c r="A1218" s="2">
        <v>45880.958333333336</v>
      </c>
      <c r="C1218">
        <v>79.050361633300781</v>
      </c>
      <c r="D1218">
        <v>30.995000839233398</v>
      </c>
    </row>
    <row r="1219" spans="1:4" x14ac:dyDescent="0.2">
      <c r="A1219" s="2">
        <v>45881</v>
      </c>
      <c r="B1219">
        <v>373.9569091796875</v>
      </c>
    </row>
    <row r="1220" spans="1:4" x14ac:dyDescent="0.2">
      <c r="A1220" s="2">
        <v>45881.958333333336</v>
      </c>
      <c r="C1220">
        <v>80.201072692871094</v>
      </c>
      <c r="D1220">
        <v>30.915000915527344</v>
      </c>
    </row>
    <row r="1221" spans="1:4" x14ac:dyDescent="0.2">
      <c r="A1221" s="2">
        <v>45882</v>
      </c>
      <c r="B1221">
        <v>373.45697021484375</v>
      </c>
    </row>
    <row r="1222" spans="1:4" x14ac:dyDescent="0.2">
      <c r="A1222" s="2">
        <v>45882.958333333336</v>
      </c>
      <c r="C1222">
        <v>81.168045043945312</v>
      </c>
      <c r="D1222">
        <v>30.915000915527344</v>
      </c>
    </row>
    <row r="1223" spans="1:4" x14ac:dyDescent="0.2">
      <c r="A1223" s="2">
        <v>45883</v>
      </c>
      <c r="B1223">
        <v>374.8568115234375</v>
      </c>
    </row>
    <row r="1224" spans="1:4" x14ac:dyDescent="0.2">
      <c r="A1224" s="2">
        <v>45883.958333333336</v>
      </c>
      <c r="C1224">
        <v>80.935966491699219</v>
      </c>
      <c r="D1224">
        <v>31.245000839233398</v>
      </c>
    </row>
    <row r="1225" spans="1:4" x14ac:dyDescent="0.2">
      <c r="A1225" s="2">
        <v>45884</v>
      </c>
      <c r="B1225">
        <v>371.10723876953125</v>
      </c>
    </row>
    <row r="1226" spans="1:4" x14ac:dyDescent="0.2">
      <c r="A1226" s="2">
        <v>45886.958333333336</v>
      </c>
      <c r="C1226">
        <v>79.572532653808594</v>
      </c>
      <c r="D1226">
        <v>31.415000915527344</v>
      </c>
    </row>
    <row r="1227" spans="1:4" x14ac:dyDescent="0.2">
      <c r="A1227" s="2">
        <v>45887</v>
      </c>
      <c r="B1227">
        <v>371.15725708007812</v>
      </c>
    </row>
    <row r="1228" spans="1:4" x14ac:dyDescent="0.2">
      <c r="A1228" s="2">
        <v>45887.958333333336</v>
      </c>
      <c r="C1228">
        <v>80.123710632324219</v>
      </c>
      <c r="D1228">
        <v>31.530000686645508</v>
      </c>
    </row>
    <row r="1229" spans="1:4" x14ac:dyDescent="0.2">
      <c r="A1229" s="2">
        <v>45888</v>
      </c>
      <c r="B1229">
        <v>372.05712890625</v>
      </c>
    </row>
    <row r="1230" spans="1:4" x14ac:dyDescent="0.2">
      <c r="A1230" s="2">
        <v>45888.958333333336</v>
      </c>
      <c r="C1230">
        <v>80.558845520019531</v>
      </c>
      <c r="D1230">
        <v>31.274999618530273</v>
      </c>
    </row>
    <row r="1231" spans="1:4" x14ac:dyDescent="0.2">
      <c r="A1231" s="2">
        <v>45889</v>
      </c>
      <c r="B1231">
        <v>372.65707397460938</v>
      </c>
    </row>
    <row r="1232" spans="1:4" x14ac:dyDescent="0.2">
      <c r="A1232" s="2">
        <v>45889.958333333336</v>
      </c>
      <c r="C1232">
        <v>79.988334655761719</v>
      </c>
      <c r="D1232">
        <v>31.559999465942383</v>
      </c>
    </row>
    <row r="1233" spans="1:4" x14ac:dyDescent="0.2">
      <c r="A1233" s="2">
        <v>45890</v>
      </c>
      <c r="B1233">
        <v>373.90692138671875</v>
      </c>
    </row>
    <row r="1234" spans="1:4" x14ac:dyDescent="0.2">
      <c r="A1234" s="2">
        <v>45890.958333333336</v>
      </c>
      <c r="C1234">
        <v>80.626533508300781</v>
      </c>
      <c r="D1234">
        <v>31.700000762939453</v>
      </c>
    </row>
    <row r="1235" spans="1:4" x14ac:dyDescent="0.2">
      <c r="A1235" s="2">
        <v>45891</v>
      </c>
      <c r="B1235">
        <v>376.40664672851562</v>
      </c>
    </row>
    <row r="1236" spans="1:4" x14ac:dyDescent="0.2">
      <c r="A1236" s="2">
        <v>45893.958333333336</v>
      </c>
      <c r="C1236">
        <v>77.773956298828125</v>
      </c>
      <c r="D1236">
        <v>31.809999465942383</v>
      </c>
    </row>
    <row r="1237" spans="1:4" x14ac:dyDescent="0.2">
      <c r="A1237" s="2">
        <v>45894.958333333336</v>
      </c>
      <c r="C1237">
        <v>74.486228942871094</v>
      </c>
      <c r="D1237">
        <v>31.405000686645508</v>
      </c>
    </row>
    <row r="1238" spans="1:4" x14ac:dyDescent="0.2">
      <c r="A1238" s="2">
        <v>45895</v>
      </c>
      <c r="B1238">
        <v>373.75692749023438</v>
      </c>
    </row>
    <row r="1239" spans="1:4" x14ac:dyDescent="0.2">
      <c r="A1239" s="2">
        <v>45895.958333333336</v>
      </c>
      <c r="C1239">
        <v>74.00274658203125</v>
      </c>
      <c r="D1239">
        <v>30.350000381469727</v>
      </c>
    </row>
    <row r="1240" spans="1:4" x14ac:dyDescent="0.2">
      <c r="A1240" s="2">
        <v>45896</v>
      </c>
      <c r="B1240">
        <v>371.35720825195312</v>
      </c>
    </row>
    <row r="1241" spans="1:4" x14ac:dyDescent="0.2">
      <c r="A1241" s="2">
        <v>45896.958333333336</v>
      </c>
      <c r="C1241">
        <v>74.360527038574219</v>
      </c>
      <c r="D1241">
        <v>30.225000381469727</v>
      </c>
    </row>
    <row r="1242" spans="1:4" x14ac:dyDescent="0.2">
      <c r="A1242" s="2">
        <v>45897</v>
      </c>
      <c r="B1242">
        <v>368.60751342773438</v>
      </c>
    </row>
    <row r="1243" spans="1:4" x14ac:dyDescent="0.2">
      <c r="A1243" s="2">
        <v>45897.958333333336</v>
      </c>
      <c r="C1243">
        <v>74.292839050292969</v>
      </c>
      <c r="D1243">
        <v>30.030000686645508</v>
      </c>
    </row>
    <row r="1244" spans="1:4" x14ac:dyDescent="0.2">
      <c r="A1244" s="2">
        <v>45898</v>
      </c>
      <c r="B1244">
        <v>360.35845947265625</v>
      </c>
    </row>
    <row r="1245" spans="1:4" x14ac:dyDescent="0.2">
      <c r="A1245" s="2">
        <v>45900.958333333336</v>
      </c>
      <c r="C1245">
        <v>74.505577087402344</v>
      </c>
      <c r="D1245">
        <v>30.209999084472656</v>
      </c>
    </row>
    <row r="1246" spans="1:4" x14ac:dyDescent="0.2">
      <c r="A1246" s="2">
        <v>45901</v>
      </c>
      <c r="B1246">
        <v>367.25765991210938</v>
      </c>
    </row>
    <row r="1247" spans="1:4" x14ac:dyDescent="0.2">
      <c r="A1247" s="2">
        <v>45901.958333333336</v>
      </c>
      <c r="C1247">
        <v>73.432228088378906</v>
      </c>
      <c r="D1247">
        <v>29.694999694824219</v>
      </c>
    </row>
    <row r="1248" spans="1:4" x14ac:dyDescent="0.2">
      <c r="A1248" s="2">
        <v>45902</v>
      </c>
      <c r="B1248">
        <v>359.6585693359375</v>
      </c>
    </row>
    <row r="1249" spans="1:4" x14ac:dyDescent="0.2">
      <c r="A1249" s="2">
        <v>45902.958333333336</v>
      </c>
      <c r="C1249">
        <v>73.673973083496094</v>
      </c>
      <c r="D1249">
        <v>29.799999237060547</v>
      </c>
    </row>
    <row r="1250" spans="1:4" x14ac:dyDescent="0.2">
      <c r="A1250" s="2">
        <v>45903</v>
      </c>
      <c r="B1250">
        <v>362.208251953125</v>
      </c>
    </row>
    <row r="1251" spans="1:4" x14ac:dyDescent="0.2">
      <c r="A1251" s="2">
        <v>45903.958333333336</v>
      </c>
      <c r="C1251">
        <v>74.998725891113281</v>
      </c>
      <c r="D1251">
        <v>30.260000228881836</v>
      </c>
    </row>
    <row r="1252" spans="1:4" x14ac:dyDescent="0.2">
      <c r="A1252" s="2">
        <v>45904</v>
      </c>
      <c r="B1252">
        <v>370.20733642578125</v>
      </c>
    </row>
    <row r="1253" spans="1:4" x14ac:dyDescent="0.2">
      <c r="A1253" s="2">
        <v>45904.958333333336</v>
      </c>
      <c r="C1253">
        <v>73.993072509765625</v>
      </c>
      <c r="D1253">
        <v>29.870000839233398</v>
      </c>
    </row>
    <row r="1254" spans="1:4" x14ac:dyDescent="0.2">
      <c r="A1254" s="2">
        <v>45905</v>
      </c>
      <c r="B1254">
        <v>361.00839233398438</v>
      </c>
    </row>
    <row r="1255" spans="1:4" x14ac:dyDescent="0.2">
      <c r="A1255" s="2">
        <v>45907.958333333336</v>
      </c>
      <c r="C1255">
        <v>74.167129516601562</v>
      </c>
      <c r="D1255">
        <v>30.030000686645508</v>
      </c>
    </row>
    <row r="1256" spans="1:4" x14ac:dyDescent="0.2">
      <c r="A1256" s="2">
        <v>45908</v>
      </c>
      <c r="B1256">
        <v>366.50775146484375</v>
      </c>
    </row>
    <row r="1257" spans="1:4" x14ac:dyDescent="0.2">
      <c r="A1257" s="2">
        <v>45908.958333333336</v>
      </c>
      <c r="C1257">
        <v>75.298500061035156</v>
      </c>
      <c r="D1257">
        <v>30.534999847412109</v>
      </c>
    </row>
    <row r="1258" spans="1:4" x14ac:dyDescent="0.2">
      <c r="A1258" s="2">
        <v>45909</v>
      </c>
      <c r="B1258">
        <v>373.5069580078125</v>
      </c>
    </row>
    <row r="1259" spans="1:4" x14ac:dyDescent="0.2">
      <c r="A1259" s="2">
        <v>45909.958333333336</v>
      </c>
      <c r="C1259">
        <v>75.57891845703125</v>
      </c>
      <c r="D1259">
        <v>30.805000305175781</v>
      </c>
    </row>
    <row r="1260" spans="1:4" x14ac:dyDescent="0.2">
      <c r="A1260" s="2">
        <v>45910</v>
      </c>
      <c r="B1260">
        <v>375.00677490234375</v>
      </c>
    </row>
    <row r="1261" spans="1:4" x14ac:dyDescent="0.2">
      <c r="A1261" s="2">
        <v>45910.958333333336</v>
      </c>
      <c r="C1261">
        <v>76.787643432617188</v>
      </c>
      <c r="D1261">
        <v>31.440000534057617</v>
      </c>
    </row>
    <row r="1262" spans="1:4" x14ac:dyDescent="0.2">
      <c r="A1262" s="2">
        <v>45911</v>
      </c>
      <c r="B1262">
        <v>379.50625610351562</v>
      </c>
    </row>
    <row r="1263" spans="1:4" x14ac:dyDescent="0.2">
      <c r="A1263" s="2">
        <v>45911.958333333336</v>
      </c>
      <c r="C1263">
        <v>76.6812744140625</v>
      </c>
      <c r="D1263">
        <v>31.555000305175781</v>
      </c>
    </row>
    <row r="1264" spans="1:4" x14ac:dyDescent="0.2">
      <c r="A1264" s="2">
        <v>45912</v>
      </c>
      <c r="B1264">
        <v>380.05621337890625</v>
      </c>
    </row>
    <row r="1265" spans="1:4" x14ac:dyDescent="0.2">
      <c r="A1265" s="2">
        <v>45914.958333333336</v>
      </c>
      <c r="C1265">
        <v>77.677261352539062</v>
      </c>
      <c r="D1265">
        <v>31.915000915527344</v>
      </c>
    </row>
    <row r="1266" spans="1:4" x14ac:dyDescent="0.2">
      <c r="A1266" s="2">
        <v>45915</v>
      </c>
      <c r="B1266">
        <v>384.60568237304688</v>
      </c>
    </row>
    <row r="1267" spans="1:4" x14ac:dyDescent="0.2">
      <c r="A1267" s="2">
        <v>45915.958333333336</v>
      </c>
      <c r="C1267">
        <v>76.555564880371094</v>
      </c>
      <c r="D1267">
        <v>30.815000534057617</v>
      </c>
    </row>
    <row r="1268" spans="1:4" x14ac:dyDescent="0.2">
      <c r="A1268" s="2">
        <v>45916</v>
      </c>
      <c r="B1268">
        <v>374.80682373046875</v>
      </c>
    </row>
    <row r="1269" spans="1:4" x14ac:dyDescent="0.2">
      <c r="A1269" s="2">
        <v>45916.958333333336</v>
      </c>
      <c r="C1269">
        <v>75.105094909667969</v>
      </c>
      <c r="D1269">
        <v>30.735000610351562</v>
      </c>
    </row>
    <row r="1270" spans="1:4" x14ac:dyDescent="0.2">
      <c r="A1270" s="2">
        <v>45917</v>
      </c>
      <c r="B1270">
        <v>378.35638427734375</v>
      </c>
    </row>
    <row r="1271" spans="1:4" x14ac:dyDescent="0.2">
      <c r="A1271" s="2">
        <v>45917.958333333336</v>
      </c>
      <c r="C1271">
        <v>75.801322937011719</v>
      </c>
      <c r="D1271">
        <v>30.450000762939453</v>
      </c>
    </row>
    <row r="1272" spans="1:4" x14ac:dyDescent="0.2">
      <c r="A1272" s="2">
        <v>45918</v>
      </c>
      <c r="B1272">
        <v>384.50567626953125</v>
      </c>
    </row>
    <row r="1273" spans="1:4" x14ac:dyDescent="0.2">
      <c r="A1273" s="2">
        <v>45918.958333333336</v>
      </c>
      <c r="C1273">
        <v>76.971359252929688</v>
      </c>
      <c r="D1273">
        <v>30.920000076293945</v>
      </c>
    </row>
    <row r="1274" spans="1:4" x14ac:dyDescent="0.2">
      <c r="A1274" s="2">
        <v>45919</v>
      </c>
      <c r="B1274">
        <v>381.60601806640625</v>
      </c>
    </row>
    <row r="1275" spans="1:4" x14ac:dyDescent="0.2">
      <c r="A1275" s="2">
        <v>45921.958333333336</v>
      </c>
      <c r="C1275">
        <v>76.081748962402344</v>
      </c>
      <c r="D1275">
        <v>30.920000076293945</v>
      </c>
    </row>
    <row r="1276" spans="1:4" x14ac:dyDescent="0.2">
      <c r="A1276" s="2">
        <v>45922</v>
      </c>
      <c r="B1276">
        <v>383.30584716796875</v>
      </c>
    </row>
    <row r="1277" spans="1:4" x14ac:dyDescent="0.2">
      <c r="A1277" s="2">
        <v>45922.958333333336</v>
      </c>
      <c r="C1277">
        <v>76.323493957519531</v>
      </c>
      <c r="D1277">
        <v>30.915000915527344</v>
      </c>
    </row>
    <row r="1278" spans="1:4" x14ac:dyDescent="0.2">
      <c r="A1278" s="2">
        <v>45923</v>
      </c>
      <c r="B1278">
        <v>389.255126953125</v>
      </c>
    </row>
    <row r="1279" spans="1:4" x14ac:dyDescent="0.2">
      <c r="A1279" s="2">
        <v>45923.958333333336</v>
      </c>
      <c r="C1279">
        <v>75.636940002441406</v>
      </c>
      <c r="D1279">
        <v>30.735000610351562</v>
      </c>
    </row>
    <row r="1280" spans="1:4" x14ac:dyDescent="0.2">
      <c r="A1280" s="2">
        <v>45924</v>
      </c>
      <c r="B1280">
        <v>385.005615234375</v>
      </c>
    </row>
    <row r="1281" spans="1:4" x14ac:dyDescent="0.2">
      <c r="A1281" s="2">
        <v>45924.958333333336</v>
      </c>
      <c r="C1281">
        <v>75.840003967285156</v>
      </c>
      <c r="D1281">
        <v>30.155000686645508</v>
      </c>
    </row>
    <row r="1282" spans="1:4" x14ac:dyDescent="0.2">
      <c r="A1282" s="2">
        <v>45925</v>
      </c>
      <c r="B1282">
        <v>376.306640625</v>
      </c>
    </row>
    <row r="1283" spans="1:4" x14ac:dyDescent="0.2">
      <c r="A1283" s="2">
        <v>45925.958333333336</v>
      </c>
      <c r="C1283">
        <v>77.540000915527344</v>
      </c>
      <c r="D1283">
        <v>30.549999237060547</v>
      </c>
    </row>
    <row r="1284" spans="1:4" x14ac:dyDescent="0.2">
      <c r="A1284" s="2">
        <v>45926</v>
      </c>
      <c r="B1284">
        <v>382.55593872070312</v>
      </c>
    </row>
    <row r="1285" spans="1:4" x14ac:dyDescent="0.2">
      <c r="A1285" s="2">
        <v>45928.958333333336</v>
      </c>
      <c r="C1285">
        <v>77.449996948242188</v>
      </c>
      <c r="D1285">
        <v>30.030000686645508</v>
      </c>
    </row>
    <row r="1286" spans="1:4" x14ac:dyDescent="0.2">
      <c r="A1286" s="2">
        <v>45929</v>
      </c>
      <c r="B1286">
        <v>380.756103515625</v>
      </c>
    </row>
    <row r="1287" spans="1:4" x14ac:dyDescent="0.2">
      <c r="A1287" s="2">
        <v>45929.958333333336</v>
      </c>
      <c r="C1287">
        <v>77.330001831054688</v>
      </c>
      <c r="D1287">
        <v>30.030000686645508</v>
      </c>
    </row>
    <row r="1288" spans="1:4" x14ac:dyDescent="0.2">
      <c r="A1288" s="2">
        <v>45930</v>
      </c>
      <c r="B1288">
        <v>379.5562744140625</v>
      </c>
    </row>
    <row r="1289" spans="1:4" x14ac:dyDescent="0.2">
      <c r="A1289" s="2">
        <v>45930.958333333336</v>
      </c>
      <c r="C1289">
        <v>78.339996337890625</v>
      </c>
      <c r="D1289">
        <v>30.094999313354492</v>
      </c>
    </row>
    <row r="1290" spans="1:4" x14ac:dyDescent="0.2">
      <c r="A1290" s="2">
        <v>45931</v>
      </c>
      <c r="B1290">
        <v>380.15621948242188</v>
      </c>
    </row>
    <row r="1291" spans="1:4" x14ac:dyDescent="0.2">
      <c r="A1291" s="2">
        <v>45931.958333333336</v>
      </c>
      <c r="C1291">
        <v>77.529998779296875</v>
      </c>
      <c r="D1291">
        <v>30.045000076293945</v>
      </c>
    </row>
    <row r="1292" spans="1:4" x14ac:dyDescent="0.2">
      <c r="A1292" s="2">
        <v>45932</v>
      </c>
      <c r="B1292">
        <v>380.25616455078125</v>
      </c>
    </row>
    <row r="1293" spans="1:4" x14ac:dyDescent="0.2">
      <c r="A1293" s="2">
        <v>45932.958333333336</v>
      </c>
      <c r="C1293">
        <v>78</v>
      </c>
      <c r="D1293">
        <v>30.274999618530273</v>
      </c>
    </row>
    <row r="1294" spans="1:4" x14ac:dyDescent="0.2">
      <c r="A1294" s="2">
        <v>45933</v>
      </c>
      <c r="B1294">
        <v>385.30560302734375</v>
      </c>
    </row>
    <row r="1295" spans="1:4" x14ac:dyDescent="0.2">
      <c r="A1295" s="2">
        <v>45935.958333333336</v>
      </c>
      <c r="C1295">
        <v>75.5</v>
      </c>
      <c r="D1295">
        <v>29.864999771118164</v>
      </c>
    </row>
    <row r="1296" spans="1:4" x14ac:dyDescent="0.2">
      <c r="A1296" s="2">
        <v>45936</v>
      </c>
      <c r="B1296">
        <v>381.05609130859375</v>
      </c>
    </row>
    <row r="1297" spans="1:4" x14ac:dyDescent="0.2">
      <c r="A1297" s="2">
        <v>45936.958333333336</v>
      </c>
      <c r="C1297">
        <v>74.629997253417969</v>
      </c>
      <c r="D1297">
        <v>29.834999084472656</v>
      </c>
    </row>
    <row r="1298" spans="1:4" x14ac:dyDescent="0.2">
      <c r="A1298" s="2">
        <v>45937</v>
      </c>
      <c r="B1298">
        <v>378.70635986328125</v>
      </c>
    </row>
    <row r="1299" spans="1:4" x14ac:dyDescent="0.2">
      <c r="A1299" s="2">
        <v>45937.958333333336</v>
      </c>
      <c r="C1299">
        <v>75.199996948242188</v>
      </c>
      <c r="D1299">
        <v>30.489999771118164</v>
      </c>
    </row>
    <row r="1300" spans="1:4" x14ac:dyDescent="0.2">
      <c r="A1300" s="2">
        <v>45938</v>
      </c>
      <c r="B1300">
        <v>382.75588989257812</v>
      </c>
    </row>
    <row r="1301" spans="1:4" x14ac:dyDescent="0.2">
      <c r="A1301" s="2">
        <v>45938.958333333336</v>
      </c>
      <c r="C1301">
        <v>75.540000915527344</v>
      </c>
      <c r="D1301">
        <v>30.424999237060547</v>
      </c>
    </row>
    <row r="1302" spans="1:4" x14ac:dyDescent="0.2">
      <c r="A1302" s="2">
        <v>45939</v>
      </c>
      <c r="B1302">
        <v>374.5068359375</v>
      </c>
    </row>
    <row r="1303" spans="1:4" x14ac:dyDescent="0.2">
      <c r="A1303" s="2">
        <v>45939.958333333336</v>
      </c>
      <c r="C1303">
        <v>75.5</v>
      </c>
      <c r="D1303">
        <v>30.079999923706055</v>
      </c>
    </row>
    <row r="1304" spans="1:4" x14ac:dyDescent="0.2">
      <c r="A1304" s="2">
        <v>45940</v>
      </c>
      <c r="B1304">
        <v>372.45709228515625</v>
      </c>
    </row>
    <row r="1305" spans="1:4" x14ac:dyDescent="0.2">
      <c r="A1305" s="2">
        <v>45942.958333333336</v>
      </c>
      <c r="C1305">
        <v>75.44000244140625</v>
      </c>
      <c r="D1305">
        <v>30.5</v>
      </c>
    </row>
    <row r="1306" spans="1:4" x14ac:dyDescent="0.2">
      <c r="A1306" s="2">
        <v>45943</v>
      </c>
      <c r="B1306">
        <v>374.65682983398438</v>
      </c>
    </row>
    <row r="1307" spans="1:4" x14ac:dyDescent="0.2">
      <c r="A1307" s="2">
        <v>45943.958333333336</v>
      </c>
      <c r="C1307">
        <v>75.75</v>
      </c>
      <c r="D1307">
        <v>30.434999465942383</v>
      </c>
    </row>
    <row r="1308" spans="1:4" x14ac:dyDescent="0.2">
      <c r="A1308" s="2">
        <v>45944</v>
      </c>
      <c r="B1308">
        <v>380.95611572265625</v>
      </c>
    </row>
    <row r="1309" spans="1:4" x14ac:dyDescent="0.2">
      <c r="A1309" s="2">
        <v>45944.958333333336</v>
      </c>
      <c r="C1309">
        <v>76.830001831054688</v>
      </c>
      <c r="D1309">
        <v>30.079999923706055</v>
      </c>
    </row>
    <row r="1310" spans="1:4" x14ac:dyDescent="0.2">
      <c r="A1310" s="2">
        <v>45945</v>
      </c>
      <c r="B1310">
        <v>379.206298828125</v>
      </c>
    </row>
    <row r="1311" spans="1:4" x14ac:dyDescent="0.2">
      <c r="A1311" s="2">
        <v>45945.958333333336</v>
      </c>
      <c r="C1311">
        <v>77.980003356933594</v>
      </c>
      <c r="D1311">
        <v>30.5</v>
      </c>
    </row>
    <row r="1312" spans="1:4" x14ac:dyDescent="0.2">
      <c r="A1312" s="2">
        <v>45946</v>
      </c>
      <c r="B1312">
        <v>379.206298828125</v>
      </c>
    </row>
    <row r="1313" spans="1:4" x14ac:dyDescent="0.2">
      <c r="A1313" s="2">
        <v>45946.958333333336</v>
      </c>
      <c r="C1313">
        <v>74.889999389648438</v>
      </c>
      <c r="D1313">
        <v>28.649999618530273</v>
      </c>
    </row>
    <row r="1314" spans="1:4" x14ac:dyDescent="0.2">
      <c r="A1314" s="2">
        <v>45947</v>
      </c>
      <c r="B1314">
        <v>357.75875854492188</v>
      </c>
    </row>
    <row r="1315" spans="1:4" x14ac:dyDescent="0.2">
      <c r="A1315" s="2">
        <v>45949.958333333336</v>
      </c>
      <c r="C1315">
        <v>69.099998474121094</v>
      </c>
      <c r="D1315">
        <v>29.020000457763672</v>
      </c>
    </row>
    <row r="1316" spans="1:4" x14ac:dyDescent="0.2">
      <c r="A1316" s="2">
        <v>45950</v>
      </c>
      <c r="B1316">
        <v>361.75830078125</v>
      </c>
    </row>
    <row r="1317" spans="1:4" x14ac:dyDescent="0.2">
      <c r="A1317" s="2">
        <v>45950.958333333336</v>
      </c>
      <c r="C1317">
        <v>67.930000305175781</v>
      </c>
      <c r="D1317">
        <v>28.709999084472656</v>
      </c>
    </row>
    <row r="1318" spans="1:4" x14ac:dyDescent="0.2">
      <c r="A1318" s="2">
        <v>45951</v>
      </c>
      <c r="B1318">
        <v>364.20803833007812</v>
      </c>
    </row>
    <row r="1319" spans="1:4" x14ac:dyDescent="0.2">
      <c r="A1319" s="2">
        <v>45951.958333333336</v>
      </c>
      <c r="C1319">
        <v>68.370002746582031</v>
      </c>
      <c r="D1319">
        <v>28.575000762939453</v>
      </c>
    </row>
    <row r="1320" spans="1:4" x14ac:dyDescent="0.2">
      <c r="A1320" s="2">
        <v>45952</v>
      </c>
      <c r="B1320">
        <v>381.95599365234375</v>
      </c>
    </row>
    <row r="1321" spans="1:4" x14ac:dyDescent="0.2">
      <c r="A1321" s="2">
        <v>45952.958333333336</v>
      </c>
      <c r="C1321">
        <v>68.720001220703125</v>
      </c>
      <c r="D1321">
        <v>28.774999618530273</v>
      </c>
    </row>
    <row r="1322" spans="1:4" x14ac:dyDescent="0.2">
      <c r="A1322" s="2">
        <v>45953</v>
      </c>
      <c r="B1322">
        <v>386.65545654296875</v>
      </c>
    </row>
    <row r="1323" spans="1:4" x14ac:dyDescent="0.2">
      <c r="A1323" s="2">
        <v>45953.958333333336</v>
      </c>
      <c r="C1323">
        <v>68.480003356933594</v>
      </c>
      <c r="D1323">
        <v>29</v>
      </c>
    </row>
    <row r="1324" spans="1:4" x14ac:dyDescent="0.2">
      <c r="A1324" s="2">
        <v>45954</v>
      </c>
      <c r="B1324">
        <v>388.2552490234375</v>
      </c>
    </row>
    <row r="1325" spans="1:4" x14ac:dyDescent="0.2">
      <c r="A1325" s="2">
        <v>45956.958333333336</v>
      </c>
      <c r="C1325">
        <v>69.19000244140625</v>
      </c>
      <c r="D1325">
        <v>29.149999618530273</v>
      </c>
    </row>
    <row r="1326" spans="1:4" x14ac:dyDescent="0.2">
      <c r="A1326" s="2">
        <v>45957.958333333336</v>
      </c>
      <c r="C1326">
        <v>66.739997863769531</v>
      </c>
      <c r="D1326">
        <v>29.604999542236328</v>
      </c>
    </row>
    <row r="1327" spans="1:4" x14ac:dyDescent="0.2">
      <c r="A1327" s="2">
        <v>45958</v>
      </c>
      <c r="B1327">
        <v>404.40341186523438</v>
      </c>
    </row>
    <row r="1328" spans="1:4" x14ac:dyDescent="0.2">
      <c r="A1328" s="2">
        <v>45958.958333333336</v>
      </c>
      <c r="C1328">
        <v>66.94000244140625</v>
      </c>
      <c r="D1328">
        <v>31.069999694824219</v>
      </c>
    </row>
    <row r="1329" spans="1:4" x14ac:dyDescent="0.2">
      <c r="A1329" s="2">
        <v>45959</v>
      </c>
      <c r="B1329">
        <v>405.00332641601562</v>
      </c>
    </row>
    <row r="1330" spans="1:4" x14ac:dyDescent="0.2">
      <c r="A1330" s="2">
        <v>45959.958333333336</v>
      </c>
      <c r="C1330">
        <v>66.470001220703125</v>
      </c>
      <c r="D1330">
        <v>31.135000228881836</v>
      </c>
    </row>
    <row r="1331" spans="1:4" x14ac:dyDescent="0.2">
      <c r="A1331" s="2">
        <v>45960</v>
      </c>
      <c r="B1331">
        <v>405.80325317382812</v>
      </c>
    </row>
    <row r="1332" spans="1:4" x14ac:dyDescent="0.2">
      <c r="A1332" s="2">
        <v>45960.958333333336</v>
      </c>
      <c r="C1332">
        <v>67.05999755859375</v>
      </c>
      <c r="D1332">
        <v>30.930000305175781</v>
      </c>
    </row>
    <row r="1333" spans="1:4" x14ac:dyDescent="0.2">
      <c r="A1333" s="2">
        <v>45961</v>
      </c>
      <c r="B1333">
        <v>406.95309448242188</v>
      </c>
    </row>
    <row r="1334" spans="1:4" x14ac:dyDescent="0.2">
      <c r="A1334" s="2">
        <v>45963.958333333336</v>
      </c>
      <c r="C1334">
        <v>66</v>
      </c>
      <c r="D1334">
        <v>31.409999847412109</v>
      </c>
    </row>
    <row r="1335" spans="1:4" x14ac:dyDescent="0.2">
      <c r="A1335" s="2">
        <v>45964</v>
      </c>
      <c r="B1335">
        <v>406.55316162109375</v>
      </c>
    </row>
    <row r="1336" spans="1:4" x14ac:dyDescent="0.2">
      <c r="A1336" s="2">
        <v>45964.958333333336</v>
      </c>
      <c r="C1336">
        <v>66</v>
      </c>
      <c r="D1336">
        <v>31.540000915527344</v>
      </c>
    </row>
    <row r="1337" spans="1:4" x14ac:dyDescent="0.2">
      <c r="A1337" s="2">
        <v>45965</v>
      </c>
      <c r="B1337">
        <v>406.253173828125</v>
      </c>
    </row>
    <row r="1338" spans="1:4" x14ac:dyDescent="0.2">
      <c r="A1338" s="2">
        <v>45965.958333333336</v>
      </c>
      <c r="C1338">
        <v>65.980003356933594</v>
      </c>
      <c r="D1338">
        <v>31.540000915527344</v>
      </c>
    </row>
    <row r="1339" spans="1:4" x14ac:dyDescent="0.2">
      <c r="A1339" s="2">
        <v>45966</v>
      </c>
      <c r="B1339">
        <v>405.7032470703125</v>
      </c>
    </row>
    <row r="1340" spans="1:4" x14ac:dyDescent="0.2">
      <c r="A1340" s="2">
        <v>45966.958333333336</v>
      </c>
      <c r="C1340">
        <v>65.339996337890625</v>
      </c>
      <c r="D1340">
        <v>31.319999694824219</v>
      </c>
    </row>
    <row r="1341" spans="1:4" x14ac:dyDescent="0.2">
      <c r="A1341" s="2">
        <v>45967</v>
      </c>
      <c r="B1341">
        <v>409.75277709960938</v>
      </c>
    </row>
    <row r="1342" spans="1:4" x14ac:dyDescent="0.2">
      <c r="A1342" s="2">
        <v>45967.958333333336</v>
      </c>
      <c r="C1342">
        <v>65.489997863769531</v>
      </c>
      <c r="D1342">
        <v>31.319999694824219</v>
      </c>
    </row>
    <row r="1343" spans="1:4" x14ac:dyDescent="0.2">
      <c r="A1343" s="2">
        <v>45968</v>
      </c>
      <c r="B1343">
        <v>404.65338134765625</v>
      </c>
    </row>
    <row r="1344" spans="1:4" x14ac:dyDescent="0.2">
      <c r="A1344" s="2">
        <v>45970.958333333336</v>
      </c>
      <c r="C1344">
        <v>67</v>
      </c>
      <c r="D1344">
        <v>31.319999694824219</v>
      </c>
    </row>
    <row r="1345" spans="1:4" x14ac:dyDescent="0.2">
      <c r="A1345" s="2">
        <v>45971</v>
      </c>
      <c r="B1345">
        <v>417.20193481445312</v>
      </c>
    </row>
    <row r="1346" spans="1:4" x14ac:dyDescent="0.2">
      <c r="A1346" s="2">
        <v>45971.958333333336</v>
      </c>
      <c r="C1346">
        <v>67.550003051757812</v>
      </c>
      <c r="D1346">
        <v>32.5</v>
      </c>
    </row>
    <row r="1347" spans="1:4" x14ac:dyDescent="0.2">
      <c r="A1347" s="2">
        <v>45972</v>
      </c>
      <c r="B1347">
        <v>422.80130004882812</v>
      </c>
    </row>
    <row r="1348" spans="1:4" x14ac:dyDescent="0.2">
      <c r="A1348" s="2">
        <v>45972.958333333336</v>
      </c>
      <c r="C1348">
        <v>69.290000915527344</v>
      </c>
      <c r="D1348">
        <v>33.349998474121094</v>
      </c>
    </row>
    <row r="1349" spans="1:4" x14ac:dyDescent="0.2">
      <c r="A1349" s="2">
        <v>45973</v>
      </c>
      <c r="B1349">
        <v>429.00054931640625</v>
      </c>
    </row>
    <row r="1350" spans="1:4" x14ac:dyDescent="0.2">
      <c r="A1350" s="2">
        <v>45973.958333333336</v>
      </c>
      <c r="C1350">
        <v>69.589996337890625</v>
      </c>
      <c r="D1350">
        <v>33.349998474121094</v>
      </c>
    </row>
    <row r="1351" spans="1:4" x14ac:dyDescent="0.2">
      <c r="A1351" s="2">
        <v>45974</v>
      </c>
      <c r="B1351">
        <v>427.20077514648438</v>
      </c>
    </row>
    <row r="1352" spans="1:4" x14ac:dyDescent="0.2">
      <c r="A1352" s="2">
        <v>45974.958333333336</v>
      </c>
      <c r="C1352">
        <v>68.830001831054688</v>
      </c>
      <c r="D1352">
        <v>31.870000839233398</v>
      </c>
    </row>
    <row r="1353" spans="1:4" x14ac:dyDescent="0.2">
      <c r="A1353" s="2">
        <v>45975</v>
      </c>
      <c r="B1353">
        <v>413.45236206054688</v>
      </c>
    </row>
    <row r="1354" spans="1:4" x14ac:dyDescent="0.2">
      <c r="A1354" s="2">
        <v>45977.958333333336</v>
      </c>
      <c r="C1354">
        <v>68.300003051757812</v>
      </c>
      <c r="D1354">
        <v>30.815000534057617</v>
      </c>
    </row>
    <row r="1355" spans="1:4" x14ac:dyDescent="0.2">
      <c r="A1355" s="2">
        <v>45978</v>
      </c>
      <c r="B1355">
        <v>410.75265502929688</v>
      </c>
    </row>
    <row r="1356" spans="1:4" x14ac:dyDescent="0.2">
      <c r="A1356" s="2">
        <v>45978.958333333336</v>
      </c>
      <c r="C1356">
        <v>66.69000244140625</v>
      </c>
      <c r="D1356">
        <v>29.495000839233398</v>
      </c>
    </row>
    <row r="1357" spans="1:4" x14ac:dyDescent="0.2">
      <c r="A1357" s="2">
        <v>45979</v>
      </c>
      <c r="B1357">
        <v>399.75393676757812</v>
      </c>
    </row>
    <row r="1358" spans="1:4" x14ac:dyDescent="0.2">
      <c r="A1358" s="2">
        <v>45979.958333333336</v>
      </c>
      <c r="C1358">
        <v>67.069999694824219</v>
      </c>
      <c r="D1358">
        <v>29.875</v>
      </c>
    </row>
    <row r="1359" spans="1:4" x14ac:dyDescent="0.2">
      <c r="A1359" s="2">
        <v>45980</v>
      </c>
      <c r="B1359">
        <v>399.553955078125</v>
      </c>
    </row>
    <row r="1360" spans="1:4" x14ac:dyDescent="0.2">
      <c r="A1360" s="2">
        <v>45980.958333333336</v>
      </c>
      <c r="C1360">
        <v>70.019996643066406</v>
      </c>
      <c r="D1360">
        <v>29.829999923706055</v>
      </c>
    </row>
    <row r="1361" spans="1:4" x14ac:dyDescent="0.2">
      <c r="A1361" s="2">
        <v>45981</v>
      </c>
      <c r="B1361">
        <v>397.70416259765625</v>
      </c>
    </row>
    <row r="1362" spans="1:4" x14ac:dyDescent="0.2">
      <c r="A1362" s="2">
        <v>45981.958333333336</v>
      </c>
      <c r="C1362">
        <v>70.470001220703125</v>
      </c>
      <c r="D1362">
        <v>29.385000228881836</v>
      </c>
    </row>
    <row r="1363" spans="1:4" x14ac:dyDescent="0.2">
      <c r="A1363" s="2">
        <v>45982</v>
      </c>
      <c r="B1363">
        <v>392.15481567382812</v>
      </c>
    </row>
    <row r="1364" spans="1:4" x14ac:dyDescent="0.2">
      <c r="A1364" s="2">
        <v>45984.958333333336</v>
      </c>
      <c r="C1364">
        <v>70.419998168945312</v>
      </c>
      <c r="D1364">
        <v>29.530000686645508</v>
      </c>
    </row>
    <row r="1365" spans="1:4" x14ac:dyDescent="0.2">
      <c r="A1365" s="2">
        <v>45985</v>
      </c>
      <c r="B1365">
        <v>400.55386352539062</v>
      </c>
    </row>
    <row r="1366" spans="1:4" x14ac:dyDescent="0.2">
      <c r="A1366" s="2">
        <v>45985.958333333336</v>
      </c>
      <c r="C1366">
        <v>71.769996643066406</v>
      </c>
      <c r="D1366">
        <v>29.879999160766602</v>
      </c>
    </row>
    <row r="1367" spans="1:4" x14ac:dyDescent="0.2">
      <c r="A1367" s="2">
        <v>45986</v>
      </c>
      <c r="B1367">
        <v>409.9527587890625</v>
      </c>
    </row>
    <row r="1368" spans="1:4" x14ac:dyDescent="0.2">
      <c r="A1368" s="2">
        <v>45986.958333333336</v>
      </c>
      <c r="C1368">
        <v>72.339996337890625</v>
      </c>
      <c r="D1368">
        <v>30.629999160766602</v>
      </c>
    </row>
    <row r="1369" spans="1:4" x14ac:dyDescent="0.2">
      <c r="A1369" s="2">
        <v>45987</v>
      </c>
      <c r="B1369">
        <v>422.90127563476562</v>
      </c>
    </row>
    <row r="1370" spans="1:4" x14ac:dyDescent="0.2">
      <c r="A1370" s="2">
        <v>45987.958333333336</v>
      </c>
      <c r="C1370">
        <v>73.389999389648438</v>
      </c>
      <c r="D1370">
        <v>30.545000076293945</v>
      </c>
    </row>
    <row r="1371" spans="1:4" x14ac:dyDescent="0.2">
      <c r="A1371" s="2">
        <v>45988</v>
      </c>
      <c r="B1371">
        <v>429.90048217773438</v>
      </c>
    </row>
    <row r="1372" spans="1:4" x14ac:dyDescent="0.2">
      <c r="A1372" s="2">
        <v>45988.958333333336</v>
      </c>
      <c r="C1372">
        <v>73.69000244140625</v>
      </c>
      <c r="D1372">
        <v>30.610000610351562</v>
      </c>
    </row>
    <row r="1373" spans="1:4" x14ac:dyDescent="0.2">
      <c r="A1373" s="2">
        <v>45989</v>
      </c>
      <c r="B1373">
        <v>430.200439453125</v>
      </c>
    </row>
    <row r="1374" spans="1:4" x14ac:dyDescent="0.2">
      <c r="A1374" s="2">
        <v>45991.958333333336</v>
      </c>
      <c r="C1374">
        <v>73.44000244140625</v>
      </c>
      <c r="D1374">
        <v>30.489999771118164</v>
      </c>
    </row>
    <row r="1375" spans="1:4" x14ac:dyDescent="0.2">
      <c r="A1375" s="2">
        <v>45992</v>
      </c>
      <c r="B1375">
        <v>429.55050659179688</v>
      </c>
    </row>
    <row r="1376" spans="1:4" x14ac:dyDescent="0.2">
      <c r="A1376" s="2">
        <v>45992.958333333336</v>
      </c>
      <c r="C1376">
        <v>75.080001831054688</v>
      </c>
      <c r="D1376">
        <v>31.125</v>
      </c>
    </row>
    <row r="1377" spans="1:4" x14ac:dyDescent="0.2">
      <c r="A1377" s="2">
        <v>45993</v>
      </c>
      <c r="B1377">
        <v>436.34970092773438</v>
      </c>
    </row>
    <row r="1378" spans="1:4" x14ac:dyDescent="0.2">
      <c r="A1378" s="2">
        <v>45993.958333333336</v>
      </c>
      <c r="C1378">
        <v>74.25</v>
      </c>
      <c r="D1378">
        <v>30.604999542236328</v>
      </c>
    </row>
    <row r="1379" spans="1:4" x14ac:dyDescent="0.2">
      <c r="A1379" s="2">
        <v>45994</v>
      </c>
      <c r="B1379">
        <v>433.30007934570312</v>
      </c>
    </row>
    <row r="1380" spans="1:4" x14ac:dyDescent="0.2">
      <c r="A1380" s="2">
        <v>45994.958333333336</v>
      </c>
      <c r="C1380">
        <v>75.69000244140625</v>
      </c>
      <c r="D1380">
        <v>30.985000610351562</v>
      </c>
    </row>
    <row r="1381" spans="1:4" x14ac:dyDescent="0.2">
      <c r="A1381" s="2">
        <v>45995</v>
      </c>
      <c r="B1381">
        <v>439.1494140625</v>
      </c>
    </row>
    <row r="1382" spans="1:4" x14ac:dyDescent="0.2">
      <c r="A1382" s="2">
        <v>45995.958333333336</v>
      </c>
      <c r="C1382">
        <v>75.389999389648438</v>
      </c>
      <c r="D1382">
        <v>31.114999771118164</v>
      </c>
    </row>
    <row r="1383" spans="1:4" x14ac:dyDescent="0.2">
      <c r="A1383" s="2">
        <v>45996</v>
      </c>
      <c r="B1383">
        <v>434.34994506835938</v>
      </c>
    </row>
    <row r="1384" spans="1:4" x14ac:dyDescent="0.2">
      <c r="A1384" s="2">
        <v>45998.958333333336</v>
      </c>
      <c r="C1384">
        <v>76.419998168945312</v>
      </c>
      <c r="D1384">
        <v>31.534999847412109</v>
      </c>
    </row>
    <row r="1385" spans="1:4" x14ac:dyDescent="0.2">
      <c r="A1385" s="2">
        <v>45999</v>
      </c>
      <c r="B1385">
        <v>436.94964599609375</v>
      </c>
    </row>
    <row r="1386" spans="1:4" x14ac:dyDescent="0.2">
      <c r="A1386" s="2">
        <v>45999.958333333336</v>
      </c>
      <c r="C1386">
        <v>77.540000915527344</v>
      </c>
      <c r="D1386">
        <v>32.130001068115234</v>
      </c>
    </row>
    <row r="1387" spans="1:4" x14ac:dyDescent="0.2">
      <c r="A1387" s="2">
        <v>46000</v>
      </c>
      <c r="B1387">
        <v>439.94931030273438</v>
      </c>
    </row>
    <row r="1388" spans="1:4" x14ac:dyDescent="0.2">
      <c r="A1388" s="2">
        <v>46000.958333333336</v>
      </c>
      <c r="C1388">
        <v>77.010002136230469</v>
      </c>
      <c r="D1388">
        <v>32.005001068115234</v>
      </c>
    </row>
    <row r="1389" spans="1:4" x14ac:dyDescent="0.2">
      <c r="A1389" s="2">
        <v>46001</v>
      </c>
      <c r="B1389">
        <v>442.19903564453125</v>
      </c>
    </row>
    <row r="1390" spans="1:4" x14ac:dyDescent="0.2">
      <c r="A1390" s="2">
        <v>46001.958333333336</v>
      </c>
      <c r="C1390">
        <v>78.669998168945312</v>
      </c>
      <c r="D1390">
        <v>32.610000610351562</v>
      </c>
    </row>
    <row r="1391" spans="1:4" x14ac:dyDescent="0.2">
      <c r="A1391" s="2">
        <v>46002</v>
      </c>
      <c r="B1391">
        <v>446.8485107421875</v>
      </c>
    </row>
    <row r="1392" spans="1:4" x14ac:dyDescent="0.2">
      <c r="A1392" s="2">
        <v>46002.958333333336</v>
      </c>
      <c r="C1392">
        <v>78.089996337890625</v>
      </c>
      <c r="D1392">
        <v>31.590000152587891</v>
      </c>
    </row>
    <row r="1393" spans="1:4" x14ac:dyDescent="0.2">
      <c r="A1393" s="2">
        <v>46003</v>
      </c>
      <c r="B1393">
        <v>444.29879760742188</v>
      </c>
    </row>
    <row r="1394" spans="1:4" x14ac:dyDescent="0.2">
      <c r="A1394" s="2">
        <v>46005.958333333336</v>
      </c>
      <c r="C1394">
        <v>79.080001831054688</v>
      </c>
      <c r="D1394">
        <v>32.095001220703125</v>
      </c>
    </row>
    <row r="1395" spans="1:4" x14ac:dyDescent="0.2">
      <c r="A1395" s="2">
        <v>46006</v>
      </c>
      <c r="B1395">
        <v>454.19766235351562</v>
      </c>
    </row>
    <row r="1396" spans="1:4" x14ac:dyDescent="0.2">
      <c r="A1396" s="2">
        <v>46006.958333333336</v>
      </c>
      <c r="C1396">
        <v>78.860000610351562</v>
      </c>
      <c r="D1396">
        <v>31.809999465942383</v>
      </c>
    </row>
    <row r="1397" spans="1:4" x14ac:dyDescent="0.2">
      <c r="A1397" s="2">
        <v>46007</v>
      </c>
      <c r="B1397">
        <v>450.39810180664062</v>
      </c>
    </row>
    <row r="1398" spans="1:4" x14ac:dyDescent="0.2">
      <c r="A1398" s="2">
        <v>46007.958333333336</v>
      </c>
      <c r="C1398">
        <v>80.080001831054688</v>
      </c>
      <c r="D1398">
        <v>31.809999465942383</v>
      </c>
    </row>
    <row r="1399" spans="1:4" x14ac:dyDescent="0.2">
      <c r="A1399" s="2">
        <v>46008</v>
      </c>
      <c r="B1399">
        <v>458.09719848632812</v>
      </c>
    </row>
    <row r="1400" spans="1:4" x14ac:dyDescent="0.2">
      <c r="A1400" s="2">
        <v>46008.958333333336</v>
      </c>
      <c r="C1400">
        <v>80.239997863769531</v>
      </c>
      <c r="D1400">
        <v>31.809999465942383</v>
      </c>
    </row>
    <row r="1401" spans="1:4" x14ac:dyDescent="0.2">
      <c r="A1401" s="2">
        <v>46009</v>
      </c>
      <c r="B1401">
        <v>463.24661254882812</v>
      </c>
    </row>
    <row r="1402" spans="1:4" x14ac:dyDescent="0.2">
      <c r="A1402" s="2">
        <v>46009.958333333336</v>
      </c>
      <c r="C1402">
        <v>80.599998474121094</v>
      </c>
      <c r="D1402">
        <v>32.965000152587891</v>
      </c>
    </row>
    <row r="1403" spans="1:4" x14ac:dyDescent="0.2">
      <c r="A1403" s="2">
        <v>46010</v>
      </c>
      <c r="B1403">
        <v>468.89599609375</v>
      </c>
    </row>
    <row r="1404" spans="1:4" x14ac:dyDescent="0.2">
      <c r="A1404" s="2">
        <v>46012.958333333336</v>
      </c>
      <c r="C1404">
        <v>80.25</v>
      </c>
      <c r="D1404">
        <v>32.955001831054688</v>
      </c>
    </row>
    <row r="1405" spans="1:4" x14ac:dyDescent="0.2">
      <c r="A1405" s="2">
        <v>46013</v>
      </c>
      <c r="B1405">
        <v>467.89608764648438</v>
      </c>
    </row>
    <row r="1406" spans="1:4" x14ac:dyDescent="0.2">
      <c r="A1406" s="2">
        <v>46013.958333333336</v>
      </c>
      <c r="C1406">
        <v>80.610000610351562</v>
      </c>
      <c r="D1406">
        <v>33.299999237060547</v>
      </c>
    </row>
    <row r="1407" spans="1:4" x14ac:dyDescent="0.2">
      <c r="A1407" s="2">
        <v>46014</v>
      </c>
      <c r="B1407">
        <v>471.54568481445312</v>
      </c>
    </row>
    <row r="1408" spans="1:4" x14ac:dyDescent="0.2">
      <c r="A1408" s="2">
        <v>46014.958333333336</v>
      </c>
      <c r="C1408">
        <v>80.519996643066406</v>
      </c>
    </row>
    <row r="1409" spans="1:4" x14ac:dyDescent="0.2">
      <c r="A1409" s="2">
        <v>46015</v>
      </c>
      <c r="B1409">
        <v>469.69589233398438</v>
      </c>
    </row>
    <row r="1410" spans="1:4" x14ac:dyDescent="0.2">
      <c r="A1410" s="2">
        <v>46019.958333333336</v>
      </c>
      <c r="C1410">
        <v>80.220001220703125</v>
      </c>
      <c r="D1410">
        <v>32.75</v>
      </c>
    </row>
    <row r="1411" spans="1:4" x14ac:dyDescent="0.2">
      <c r="A1411" s="2">
        <v>46020</v>
      </c>
      <c r="B1411">
        <v>469.1959228515625</v>
      </c>
    </row>
    <row r="1412" spans="1:4" x14ac:dyDescent="0.2">
      <c r="A1412" s="2">
        <v>46020.958333333336</v>
      </c>
      <c r="C1412">
        <v>81.099998474121094</v>
      </c>
      <c r="D1412">
        <v>33.110000610351562</v>
      </c>
    </row>
    <row r="1413" spans="1:4" x14ac:dyDescent="0.2">
      <c r="A1413" s="2">
        <v>46021</v>
      </c>
      <c r="B1413">
        <v>476.74505615234375</v>
      </c>
    </row>
    <row r="1414" spans="1:4" x14ac:dyDescent="0.2">
      <c r="A1414" s="2">
        <v>46021.958333333336</v>
      </c>
      <c r="C1414">
        <v>80.790000915527344</v>
      </c>
    </row>
    <row r="1415" spans="1:4" x14ac:dyDescent="0.2">
      <c r="A1415" s="2">
        <v>46022</v>
      </c>
      <c r="B1415">
        <v>475.89517211914062</v>
      </c>
    </row>
    <row r="1416" spans="1:4" x14ac:dyDescent="0.2">
      <c r="A1416" s="2">
        <v>46023.958333333336</v>
      </c>
      <c r="C1416">
        <v>81.919998168945312</v>
      </c>
      <c r="D1416">
        <v>33.560001373291016</v>
      </c>
    </row>
    <row r="1417" spans="1:4" x14ac:dyDescent="0.2">
      <c r="A1417" s="2">
        <v>46024</v>
      </c>
      <c r="B1417">
        <v>479.44476318359375</v>
      </c>
    </row>
    <row r="1418" spans="1:4" x14ac:dyDescent="0.2">
      <c r="A1418" s="2">
        <v>46026.958333333336</v>
      </c>
      <c r="C1418">
        <v>81.870002746582031</v>
      </c>
      <c r="D1418">
        <v>33.810001373291016</v>
      </c>
    </row>
    <row r="1419" spans="1:4" x14ac:dyDescent="0.2">
      <c r="A1419" s="2">
        <v>46027</v>
      </c>
      <c r="B1419">
        <v>486.59393310546875</v>
      </c>
    </row>
    <row r="1420" spans="1:4" x14ac:dyDescent="0.2">
      <c r="A1420" s="2">
        <v>46027.958333333336</v>
      </c>
      <c r="C1420">
        <v>80.569999694824219</v>
      </c>
      <c r="D1420">
        <v>33.409999847412109</v>
      </c>
    </row>
    <row r="1421" spans="1:4" x14ac:dyDescent="0.2">
      <c r="A1421" s="2">
        <v>46028</v>
      </c>
      <c r="B1421">
        <v>488.34371948242188</v>
      </c>
    </row>
    <row r="1422" spans="1:4" x14ac:dyDescent="0.2">
      <c r="A1422" s="2">
        <v>46028.958333333336</v>
      </c>
      <c r="C1422">
        <v>79.699996948242188</v>
      </c>
      <c r="D1422">
        <v>33.005001068115234</v>
      </c>
    </row>
    <row r="1423" spans="1:4" x14ac:dyDescent="0.2">
      <c r="A1423" s="2">
        <v>46029</v>
      </c>
      <c r="B1423">
        <v>479.4947509765625</v>
      </c>
    </row>
    <row r="1424" spans="1:4" x14ac:dyDescent="0.2">
      <c r="A1424" s="2">
        <v>46029.958333333336</v>
      </c>
      <c r="C1424">
        <v>82.5</v>
      </c>
      <c r="D1424">
        <v>33.220001220703125</v>
      </c>
    </row>
    <row r="1425" spans="1:4" x14ac:dyDescent="0.2">
      <c r="A1425" s="2">
        <v>46030</v>
      </c>
      <c r="B1425">
        <v>484.6441650390625</v>
      </c>
    </row>
    <row r="1426" spans="1:4" x14ac:dyDescent="0.2">
      <c r="A1426" s="2">
        <v>46030.958333333336</v>
      </c>
      <c r="C1426">
        <v>87.199996948242188</v>
      </c>
      <c r="D1426">
        <v>33.055000305175781</v>
      </c>
    </row>
    <row r="1427" spans="1:4" x14ac:dyDescent="0.2">
      <c r="A1427" s="2">
        <v>46031</v>
      </c>
      <c r="B1427">
        <v>484.8441162109375</v>
      </c>
    </row>
    <row r="1428" spans="1:4" x14ac:dyDescent="0.2">
      <c r="A1428" s="2">
        <v>46033.958333333336</v>
      </c>
      <c r="C1428">
        <v>86.980003356933594</v>
      </c>
      <c r="D1428">
        <v>33.75</v>
      </c>
    </row>
    <row r="1429" spans="1:4" x14ac:dyDescent="0.2">
      <c r="A1429" s="2">
        <v>46034</v>
      </c>
      <c r="B1429">
        <v>472.9954833984375</v>
      </c>
    </row>
    <row r="1430" spans="1:4" x14ac:dyDescent="0.2">
      <c r="A1430" s="2">
        <v>46034.958333333336</v>
      </c>
      <c r="C1430">
        <v>86.900001525878906</v>
      </c>
      <c r="D1430">
        <v>33.689998626708984</v>
      </c>
    </row>
    <row r="1431" spans="1:4" x14ac:dyDescent="0.2">
      <c r="A1431" s="2">
        <v>46035</v>
      </c>
      <c r="B1431">
        <v>477.29501342773438</v>
      </c>
    </row>
    <row r="1432" spans="1:4" x14ac:dyDescent="0.2">
      <c r="A1432" s="2">
        <v>46035.958333333336</v>
      </c>
      <c r="C1432">
        <v>87</v>
      </c>
      <c r="D1432">
        <v>33.650001525878906</v>
      </c>
    </row>
    <row r="1433" spans="1:4" x14ac:dyDescent="0.2">
      <c r="A1433" s="2">
        <v>46036</v>
      </c>
      <c r="B1433">
        <v>479.74472045898438</v>
      </c>
    </row>
    <row r="1434" spans="1:4" x14ac:dyDescent="0.2">
      <c r="A1434" s="2">
        <v>46036.958333333336</v>
      </c>
      <c r="C1434">
        <v>87.379997253417969</v>
      </c>
      <c r="D1434">
        <v>33.715000152587891</v>
      </c>
    </row>
    <row r="1435" spans="1:4" x14ac:dyDescent="0.2">
      <c r="A1435" s="2">
        <v>46037</v>
      </c>
      <c r="B1435">
        <v>484.24420166015625</v>
      </c>
    </row>
    <row r="1436" spans="1:4" x14ac:dyDescent="0.2">
      <c r="A1436" s="2">
        <v>46037.958333333336</v>
      </c>
      <c r="C1436">
        <v>87.209999084472656</v>
      </c>
      <c r="D1436">
        <v>33.549999237060547</v>
      </c>
    </row>
    <row r="1437" spans="1:4" x14ac:dyDescent="0.2">
      <c r="A1437" s="2">
        <v>46038</v>
      </c>
      <c r="B1437">
        <v>488.8936767578125</v>
      </c>
    </row>
    <row r="1438" spans="1:4" x14ac:dyDescent="0.2">
      <c r="A1438" s="2">
        <v>46040.958333333336</v>
      </c>
      <c r="C1438">
        <v>86.849998474121094</v>
      </c>
      <c r="D1438">
        <v>32.700000762939453</v>
      </c>
    </row>
    <row r="1439" spans="1:4" x14ac:dyDescent="0.2">
      <c r="A1439" s="2">
        <v>46041</v>
      </c>
      <c r="B1439">
        <v>482.9443359375</v>
      </c>
    </row>
    <row r="1440" spans="1:4" x14ac:dyDescent="0.2">
      <c r="A1440" s="2">
        <v>46041.958333333336</v>
      </c>
      <c r="C1440">
        <v>86.419998168945312</v>
      </c>
      <c r="D1440">
        <v>32.404998779296875</v>
      </c>
    </row>
    <row r="1441" spans="1:4" x14ac:dyDescent="0.2">
      <c r="A1441" s="2">
        <v>46042</v>
      </c>
      <c r="B1441">
        <v>479.54473876953125</v>
      </c>
    </row>
    <row r="1442" spans="1:4" x14ac:dyDescent="0.2">
      <c r="A1442" s="2">
        <v>46042.958333333336</v>
      </c>
      <c r="C1442">
        <v>85.760002136230469</v>
      </c>
      <c r="D1442">
        <v>32.110000610351562</v>
      </c>
    </row>
    <row r="1443" spans="1:4" x14ac:dyDescent="0.2">
      <c r="A1443" s="2">
        <v>46043</v>
      </c>
      <c r="B1443">
        <v>475.54519653320312</v>
      </c>
    </row>
    <row r="1444" spans="1:4" x14ac:dyDescent="0.2">
      <c r="A1444" s="2">
        <v>46043.958333333336</v>
      </c>
      <c r="C1444">
        <v>88.349998474121094</v>
      </c>
      <c r="D1444">
        <v>33.400001525878906</v>
      </c>
    </row>
    <row r="1445" spans="1:4" x14ac:dyDescent="0.2">
      <c r="A1445" s="2">
        <v>46044</v>
      </c>
      <c r="B1445">
        <v>485.39407348632812</v>
      </c>
    </row>
    <row r="1446" spans="1:4" x14ac:dyDescent="0.2">
      <c r="A1446" s="2">
        <v>46044.958333333336</v>
      </c>
      <c r="C1446">
        <v>88.139999389648438</v>
      </c>
      <c r="D1446">
        <v>32.884998321533203</v>
      </c>
    </row>
    <row r="1447" spans="1:4" x14ac:dyDescent="0.2">
      <c r="A1447" s="2">
        <v>46045</v>
      </c>
      <c r="B1447">
        <v>480.24465942382812</v>
      </c>
    </row>
    <row r="1448" spans="1:4" x14ac:dyDescent="0.2">
      <c r="A1448" s="2">
        <v>46047.958333333336</v>
      </c>
      <c r="C1448">
        <v>88.540000915527344</v>
      </c>
      <c r="D1448">
        <v>33.154998779296875</v>
      </c>
    </row>
    <row r="1449" spans="1:4" x14ac:dyDescent="0.2">
      <c r="A1449" s="2">
        <v>46048</v>
      </c>
      <c r="B1449">
        <v>480.69461059570312</v>
      </c>
    </row>
    <row r="1450" spans="1:4" x14ac:dyDescent="0.2">
      <c r="A1450" s="2">
        <v>46048.958333333336</v>
      </c>
      <c r="C1450">
        <v>90.150001525878906</v>
      </c>
      <c r="D1450">
        <v>33.529998779296875</v>
      </c>
    </row>
    <row r="1451" spans="1:4" x14ac:dyDescent="0.2">
      <c r="A1451" s="2">
        <v>46049</v>
      </c>
      <c r="B1451">
        <v>489.74356079101562</v>
      </c>
    </row>
    <row r="1452" spans="1:4" x14ac:dyDescent="0.2">
      <c r="A1452" s="2">
        <v>46049.958333333336</v>
      </c>
      <c r="C1452">
        <v>90.389999389648438</v>
      </c>
      <c r="D1452">
        <v>32.865001678466797</v>
      </c>
    </row>
    <row r="1453" spans="1:4" x14ac:dyDescent="0.2">
      <c r="A1453" s="2">
        <v>46050</v>
      </c>
      <c r="B1453">
        <v>479.74472045898438</v>
      </c>
    </row>
    <row r="1454" spans="1:4" x14ac:dyDescent="0.2">
      <c r="A1454" s="2">
        <v>46050.958333333336</v>
      </c>
      <c r="C1454">
        <v>90.040000915527344</v>
      </c>
      <c r="D1454">
        <v>32.455001831054688</v>
      </c>
    </row>
    <row r="1455" spans="1:4" x14ac:dyDescent="0.2">
      <c r="A1455" s="2">
        <v>46051</v>
      </c>
      <c r="B1455">
        <v>479.54473876953125</v>
      </c>
    </row>
    <row r="1456" spans="1:4" x14ac:dyDescent="0.2">
      <c r="A1456" s="2">
        <v>46051.958333333336</v>
      </c>
      <c r="C1456">
        <v>91.199996948242188</v>
      </c>
      <c r="D1456">
        <v>33.299999237060547</v>
      </c>
    </row>
    <row r="1457" spans="1:4" x14ac:dyDescent="0.2">
      <c r="A1457" s="2">
        <v>46052</v>
      </c>
      <c r="B1457">
        <v>486.14398193359375</v>
      </c>
    </row>
    <row r="1458" spans="1:4" x14ac:dyDescent="0.2">
      <c r="A1458" s="2">
        <v>46054.958333333336</v>
      </c>
      <c r="C1458">
        <v>92.379997253417969</v>
      </c>
      <c r="D1458">
        <v>33.435001373291016</v>
      </c>
    </row>
    <row r="1459" spans="1:4" x14ac:dyDescent="0.2">
      <c r="A1459" s="2">
        <v>46055</v>
      </c>
      <c r="B1459">
        <v>499.492431640625</v>
      </c>
    </row>
    <row r="1460" spans="1:4" x14ac:dyDescent="0.2">
      <c r="A1460" s="2">
        <v>46055.958333333336</v>
      </c>
      <c r="C1460">
        <v>91.919998168945312</v>
      </c>
      <c r="D1460">
        <v>33.779998779296875</v>
      </c>
    </row>
    <row r="1461" spans="1:4" x14ac:dyDescent="0.2">
      <c r="A1461" s="2">
        <v>46056</v>
      </c>
      <c r="B1461">
        <v>501.54220581054688</v>
      </c>
    </row>
    <row r="1462" spans="1:4" x14ac:dyDescent="0.2">
      <c r="A1462" s="2">
        <v>46056.958333333336</v>
      </c>
      <c r="C1462">
        <v>90.930000305175781</v>
      </c>
      <c r="D1462">
        <v>31.959999084472656</v>
      </c>
    </row>
    <row r="1463" spans="1:4" x14ac:dyDescent="0.2">
      <c r="A1463" s="2">
        <v>46057</v>
      </c>
      <c r="B1463">
        <v>483.1943359375</v>
      </c>
    </row>
    <row r="1464" spans="1:4" x14ac:dyDescent="0.2">
      <c r="A1464" s="2">
        <v>46057.958333333336</v>
      </c>
      <c r="C1464">
        <v>91.980003356933594</v>
      </c>
      <c r="D1464">
        <v>30.700000762939453</v>
      </c>
    </row>
    <row r="1465" spans="1:4" x14ac:dyDescent="0.2">
      <c r="A1465" s="2">
        <v>46058</v>
      </c>
      <c r="B1465">
        <v>466.39627075195312</v>
      </c>
    </row>
    <row r="1466" spans="1:4" x14ac:dyDescent="0.2">
      <c r="A1466" s="2">
        <v>46058.958333333336</v>
      </c>
      <c r="C1466">
        <v>93.180000305175781</v>
      </c>
      <c r="D1466">
        <v>31.25</v>
      </c>
    </row>
    <row r="1467" spans="1:4" x14ac:dyDescent="0.2">
      <c r="A1467" s="2">
        <v>46059</v>
      </c>
      <c r="B1467">
        <v>479.0447998046875</v>
      </c>
    </row>
    <row r="1468" spans="1:4" x14ac:dyDescent="0.2">
      <c r="A1468" s="2">
        <v>46061.958333333336</v>
      </c>
      <c r="C1468">
        <v>94.389999389648438</v>
      </c>
      <c r="D1468">
        <v>31.764999389648438</v>
      </c>
    </row>
    <row r="1469" spans="1:4" x14ac:dyDescent="0.2">
      <c r="A1469" s="2">
        <v>46062</v>
      </c>
      <c r="B1469">
        <v>486.49392700195312</v>
      </c>
    </row>
    <row r="1470" spans="1:4" x14ac:dyDescent="0.2">
      <c r="A1470" s="2">
        <v>46062.958333333336</v>
      </c>
      <c r="C1470">
        <v>93.029998779296875</v>
      </c>
      <c r="D1470">
        <v>31.534999847412109</v>
      </c>
    </row>
    <row r="1471" spans="1:4" x14ac:dyDescent="0.2">
      <c r="A1471" s="2">
        <v>46063</v>
      </c>
      <c r="B1471">
        <v>474.3453369140625</v>
      </c>
    </row>
    <row r="1472" spans="1:4" x14ac:dyDescent="0.2">
      <c r="A1472" s="2">
        <v>46063.958333333336</v>
      </c>
      <c r="C1472">
        <v>92.699996948242188</v>
      </c>
      <c r="D1472">
        <v>31.290000915527344</v>
      </c>
    </row>
    <row r="1473" spans="1:4" x14ac:dyDescent="0.2">
      <c r="A1473" s="2">
        <v>46064</v>
      </c>
      <c r="B1473">
        <v>477.44497680664062</v>
      </c>
    </row>
    <row r="1474" spans="1:4" x14ac:dyDescent="0.2">
      <c r="A1474" s="2">
        <v>46064.958333333336</v>
      </c>
      <c r="C1474">
        <v>91.589996337890625</v>
      </c>
      <c r="D1474">
        <v>30.825000762939453</v>
      </c>
    </row>
    <row r="1475" spans="1:4" x14ac:dyDescent="0.2">
      <c r="A1475" s="2">
        <v>46065</v>
      </c>
      <c r="B1475">
        <v>463.54660034179688</v>
      </c>
    </row>
    <row r="1476" spans="1:4" x14ac:dyDescent="0.2">
      <c r="A1476" s="2">
        <v>46065.958333333336</v>
      </c>
      <c r="C1476">
        <v>89.400001525878906</v>
      </c>
      <c r="D1476">
        <v>29.600000381469727</v>
      </c>
    </row>
    <row r="1477" spans="1:4" x14ac:dyDescent="0.2">
      <c r="A1477" s="2">
        <v>46066</v>
      </c>
      <c r="B1477">
        <v>453.94769287109375</v>
      </c>
    </row>
    <row r="1478" spans="1:4" x14ac:dyDescent="0.2">
      <c r="A1478" s="2">
        <v>46068.958333333336</v>
      </c>
      <c r="C1478">
        <v>90.839996337890625</v>
      </c>
      <c r="D1478">
        <v>29.774999618530273</v>
      </c>
    </row>
    <row r="1479" spans="1:4" x14ac:dyDescent="0.2">
      <c r="A1479" s="2">
        <v>46069</v>
      </c>
      <c r="B1479">
        <v>460.99685668945312</v>
      </c>
    </row>
    <row r="1480" spans="1:4" x14ac:dyDescent="0.2">
      <c r="A1480" s="2">
        <v>46069.958333333336</v>
      </c>
      <c r="C1480">
        <v>92.370002746582031</v>
      </c>
      <c r="D1480">
        <v>30.315000534057617</v>
      </c>
    </row>
    <row r="1481" spans="1:4" x14ac:dyDescent="0.2">
      <c r="A1481" s="2">
        <v>46070</v>
      </c>
      <c r="B1481">
        <v>473.89541625976562</v>
      </c>
    </row>
    <row r="1482" spans="1:4" x14ac:dyDescent="0.2">
      <c r="A1482" s="2">
        <v>46070.958333333336</v>
      </c>
      <c r="C1482">
        <v>94.25</v>
      </c>
      <c r="D1482">
        <v>31</v>
      </c>
    </row>
    <row r="1483" spans="1:4" x14ac:dyDescent="0.2">
      <c r="A1483" s="2">
        <v>46071</v>
      </c>
      <c r="B1483">
        <v>485.99398803710938</v>
      </c>
    </row>
    <row r="1484" spans="1:4" x14ac:dyDescent="0.2">
      <c r="A1484" s="2">
        <v>46071.958333333336</v>
      </c>
      <c r="C1484">
        <v>93.839996337890625</v>
      </c>
      <c r="D1484">
        <v>30.409999847412109</v>
      </c>
    </row>
    <row r="1485" spans="1:4" x14ac:dyDescent="0.2">
      <c r="A1485" s="2">
        <v>46072</v>
      </c>
      <c r="B1485">
        <v>467.95001220703125</v>
      </c>
    </row>
    <row r="1486" spans="1:4" x14ac:dyDescent="0.2">
      <c r="A1486" s="2">
        <v>46072.958333333336</v>
      </c>
      <c r="C1486">
        <v>94.730003356933594</v>
      </c>
      <c r="D1486">
        <v>31.049999237060547</v>
      </c>
    </row>
    <row r="1487" spans="1:4" x14ac:dyDescent="0.2">
      <c r="A1487" s="2">
        <v>46073</v>
      </c>
      <c r="B1487">
        <v>473.79998779296875</v>
      </c>
    </row>
    <row r="1488" spans="1:4" x14ac:dyDescent="0.2">
      <c r="A1488" s="2">
        <v>46075.958333333336</v>
      </c>
      <c r="C1488">
        <v>95.849998474121094</v>
      </c>
      <c r="D1488">
        <v>30.674999237060547</v>
      </c>
    </row>
    <row r="1489" spans="1:4" x14ac:dyDescent="0.2">
      <c r="A1489" s="2">
        <v>46076</v>
      </c>
      <c r="B1489">
        <v>463</v>
      </c>
    </row>
    <row r="1490" spans="1:4" x14ac:dyDescent="0.2">
      <c r="A1490" s="2">
        <v>46076.958333333336</v>
      </c>
      <c r="C1490">
        <v>94.480003356933594</v>
      </c>
      <c r="D1490">
        <v>30.139999389648438</v>
      </c>
    </row>
    <row r="1491" spans="1:4" x14ac:dyDescent="0.2">
      <c r="A1491" s="2">
        <v>46077</v>
      </c>
      <c r="B1491">
        <v>459.95001220703125</v>
      </c>
    </row>
    <row r="1492" spans="1:4" x14ac:dyDescent="0.2">
      <c r="A1492" s="2">
        <v>46077.958333333336</v>
      </c>
      <c r="C1492">
        <v>96.370002746582031</v>
      </c>
      <c r="D1492">
        <v>30.600000381469727</v>
      </c>
    </row>
    <row r="1493" spans="1:4" x14ac:dyDescent="0.2">
      <c r="A1493" s="2">
        <v>46078</v>
      </c>
      <c r="B1493">
        <v>470.35000610351562</v>
      </c>
    </row>
    <row r="1494" spans="1:4" x14ac:dyDescent="0.2">
      <c r="A1494" s="2">
        <v>46078.958333333336</v>
      </c>
      <c r="C1494">
        <v>96.300003051757812</v>
      </c>
      <c r="D1494">
        <v>31.040000915527344</v>
      </c>
    </row>
    <row r="1495" spans="1:4" x14ac:dyDescent="0.2">
      <c r="A1495" s="2">
        <v>46079</v>
      </c>
      <c r="B1495">
        <v>472.64999389648438</v>
      </c>
    </row>
    <row r="1496" spans="1:4" x14ac:dyDescent="0.2">
      <c r="A1496" s="2">
        <v>46079.958333333336</v>
      </c>
      <c r="C1496">
        <v>95.5</v>
      </c>
      <c r="D1496">
        <v>30.295000076293945</v>
      </c>
    </row>
    <row r="1497" spans="1:4" x14ac:dyDescent="0.2">
      <c r="A1497" s="2">
        <v>46080</v>
      </c>
      <c r="B1497">
        <v>452.85000610351562</v>
      </c>
    </row>
    <row r="1498" spans="1:4" x14ac:dyDescent="0.2">
      <c r="A1498" s="2">
        <v>46082.958333333336</v>
      </c>
      <c r="C1498">
        <v>92.080001831054688</v>
      </c>
      <c r="D1498">
        <v>29.25</v>
      </c>
    </row>
    <row r="1499" spans="1:4" x14ac:dyDescent="0.2">
      <c r="A1499" s="2">
        <v>46083</v>
      </c>
      <c r="B1499">
        <v>437.35000610351562</v>
      </c>
    </row>
    <row r="1500" spans="1:4" x14ac:dyDescent="0.2">
      <c r="A1500" s="2">
        <v>46083.958333333336</v>
      </c>
      <c r="C1500">
        <v>88.30999755859375</v>
      </c>
      <c r="D1500">
        <v>27.989999771118164</v>
      </c>
    </row>
    <row r="1501" spans="1:4" x14ac:dyDescent="0.2">
      <c r="A1501" s="2">
        <v>46084</v>
      </c>
      <c r="B1501">
        <v>422.54998779296875</v>
      </c>
    </row>
    <row r="1502" spans="1:4" x14ac:dyDescent="0.2">
      <c r="A1502" s="2">
        <v>46084.958333333336</v>
      </c>
      <c r="C1502">
        <v>89.319999694824219</v>
      </c>
      <c r="D1502">
        <v>28.610000610351562</v>
      </c>
    </row>
    <row r="1503" spans="1:4" x14ac:dyDescent="0.2">
      <c r="A1503" s="2">
        <v>46085</v>
      </c>
      <c r="B1503">
        <v>430.60000610351562</v>
      </c>
    </row>
    <row r="1504" spans="1:4" x14ac:dyDescent="0.2">
      <c r="A1504" s="2">
        <v>46085.958333333336</v>
      </c>
      <c r="C1504">
        <v>87.029998779296875</v>
      </c>
      <c r="D1504">
        <v>27.915000915527344</v>
      </c>
    </row>
    <row r="1505" spans="1:4" x14ac:dyDescent="0.2">
      <c r="A1505" s="2">
        <v>46086</v>
      </c>
      <c r="B1505">
        <v>417</v>
      </c>
    </row>
    <row r="1506" spans="1:4" x14ac:dyDescent="0.2">
      <c r="A1506" s="2">
        <v>46086.958333333336</v>
      </c>
      <c r="C1506">
        <v>86.349998474121094</v>
      </c>
      <c r="D1506">
        <v>26.924999237060547</v>
      </c>
    </row>
    <row r="1507" spans="1:4" x14ac:dyDescent="0.2">
      <c r="A1507" s="2">
        <v>46087</v>
      </c>
      <c r="B1507">
        <v>404.14999389648438</v>
      </c>
    </row>
    <row r="1508" spans="1:4" x14ac:dyDescent="0.2">
      <c r="A1508" s="2">
        <v>46089.958333333336</v>
      </c>
      <c r="C1508">
        <v>85.330001831054688</v>
      </c>
      <c r="D1508">
        <v>26.549999237060547</v>
      </c>
    </row>
    <row r="1509" spans="1:4" x14ac:dyDescent="0.2">
      <c r="A1509" s="2">
        <v>46090</v>
      </c>
      <c r="B1509">
        <v>397.39999389648438</v>
      </c>
    </row>
    <row r="1510" spans="1:4" x14ac:dyDescent="0.2">
      <c r="A1510" s="2">
        <v>46090.958333333336</v>
      </c>
      <c r="C1510">
        <v>88.370002746582031</v>
      </c>
      <c r="D1510">
        <v>27.459999084472656</v>
      </c>
    </row>
    <row r="1511" spans="1:4" x14ac:dyDescent="0.2">
      <c r="A1511" s="2">
        <v>46091</v>
      </c>
      <c r="B1511">
        <v>417.79998779296875</v>
      </c>
    </row>
    <row r="1512" spans="1:4" x14ac:dyDescent="0.2">
      <c r="A1512" s="2">
        <v>46091.958333333336</v>
      </c>
      <c r="C1512">
        <v>89.44000244140625</v>
      </c>
      <c r="D1512">
        <v>27.135000228881836</v>
      </c>
    </row>
    <row r="1513" spans="1:4" x14ac:dyDescent="0.2">
      <c r="A1513" s="2">
        <v>46092</v>
      </c>
      <c r="B1513">
        <v>410.25</v>
      </c>
    </row>
    <row r="1514" spans="1:4" x14ac:dyDescent="0.2">
      <c r="A1514" s="2">
        <v>46092.958333333336</v>
      </c>
      <c r="C1514">
        <v>85.800003051757812</v>
      </c>
      <c r="D1514">
        <v>25.704999923706055</v>
      </c>
    </row>
    <row r="1515" spans="1:4" x14ac:dyDescent="0.2">
      <c r="A1515" s="2">
        <v>46093</v>
      </c>
      <c r="B1515">
        <v>389.35000610351562</v>
      </c>
    </row>
    <row r="1516" spans="1:4" x14ac:dyDescent="0.2">
      <c r="A1516" s="2">
        <v>46093.958333333336</v>
      </c>
      <c r="C1516">
        <v>84.889999389648438</v>
      </c>
      <c r="D1516">
        <v>25.489999771118164</v>
      </c>
    </row>
    <row r="1517" spans="1:4" x14ac:dyDescent="0.2">
      <c r="A1517" s="2">
        <v>46094</v>
      </c>
      <c r="B1517">
        <v>386.25</v>
      </c>
    </row>
    <row r="1518" spans="1:4" x14ac:dyDescent="0.2">
      <c r="A1518" s="2">
        <v>46096.958333333336</v>
      </c>
      <c r="C1518">
        <v>84.879997253417969</v>
      </c>
      <c r="D1518">
        <v>25.899999618530273</v>
      </c>
    </row>
    <row r="1519" spans="1:4" x14ac:dyDescent="0.2">
      <c r="A1519" s="2">
        <v>46097</v>
      </c>
      <c r="B1519">
        <v>388.14999389648438</v>
      </c>
    </row>
    <row r="1520" spans="1:4" x14ac:dyDescent="0.2">
      <c r="A1520" s="2">
        <v>46097.958333333336</v>
      </c>
      <c r="C1520">
        <v>85.879997253417969</v>
      </c>
      <c r="D1520">
        <v>25.864999771118164</v>
      </c>
    </row>
    <row r="1521" spans="1:4" x14ac:dyDescent="0.2">
      <c r="A1521" s="2">
        <v>46098</v>
      </c>
      <c r="B1521">
        <v>393.75</v>
      </c>
    </row>
    <row r="1522" spans="1:4" x14ac:dyDescent="0.2">
      <c r="A1522" s="2">
        <v>46098.958333333336</v>
      </c>
      <c r="C1522">
        <v>87.300003051757812</v>
      </c>
      <c r="D1522">
        <v>25.784999847412109</v>
      </c>
    </row>
    <row r="1523" spans="1:4" x14ac:dyDescent="0.2">
      <c r="A1523" s="2">
        <v>46099</v>
      </c>
      <c r="B1523">
        <v>399.04998779296875</v>
      </c>
    </row>
    <row r="1524" spans="1:4" x14ac:dyDescent="0.2">
      <c r="A1524" s="2">
        <v>46099.958333333336</v>
      </c>
      <c r="C1524">
        <v>84.489997863769531</v>
      </c>
      <c r="D1524">
        <v>25.149999618530273</v>
      </c>
    </row>
    <row r="1525" spans="1:4" x14ac:dyDescent="0.2">
      <c r="A1525" s="2">
        <v>46100</v>
      </c>
      <c r="B1525">
        <v>381.60000610351562</v>
      </c>
    </row>
    <row r="1526" spans="1:4" x14ac:dyDescent="0.2">
      <c r="A1526" s="2">
        <v>46100.958333333336</v>
      </c>
      <c r="C1526">
        <v>82.129997253417969</v>
      </c>
      <c r="D1526">
        <v>24.760000228881836</v>
      </c>
    </row>
    <row r="1527" spans="1:4" x14ac:dyDescent="0.2">
      <c r="A1527" s="2">
        <v>46101</v>
      </c>
      <c r="B1527">
        <v>373.89999389648438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CC116-63DF-B04B-B571-1F2A5B991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Assumptions</vt:lpstr>
      <vt:lpstr>Calc_Barclays</vt:lpstr>
      <vt:lpstr>Calc_BNP</vt:lpstr>
      <vt:lpstr>Calc_Deutsche</vt:lpstr>
      <vt:lpstr>Sensitivity</vt:lpstr>
      <vt:lpstr>Scenarios</vt:lpstr>
      <vt:lpstr>Chartbook</vt:lpstr>
      <vt:lpstr>ratios_summary</vt:lpstr>
      <vt:lpstr>sensitivity_results</vt:lpstr>
      <vt:lpstr>income_Barclays</vt:lpstr>
      <vt:lpstr>income_BNP_Paribas</vt:lpstr>
      <vt:lpstr>income_Deutsche_Bank</vt:lpstr>
      <vt:lpstr>balance_Barclays</vt:lpstr>
      <vt:lpstr>balance_BNP_Paribas</vt:lpstr>
      <vt:lpstr>balance_Deutsche_Bank</vt:lpstr>
      <vt:lpstr>bank_metrics</vt:lpstr>
      <vt:lpstr>bank_prices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Samrudhi Shevare</dc:creator>
  <cp:lastModifiedBy>Samrudhi Shevare</cp:lastModifiedBy>
  <dcterms:created xsi:type="dcterms:W3CDTF">2026-04-19T13:54:35Z</dcterms:created>
  <dcterms:modified xsi:type="dcterms:W3CDTF">2026-04-19T18:48:15Z</dcterms:modified>
</cp:coreProperties>
</file>